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IMPIAS\Documents\pASANTE VLADIMIR\automatizacion wms-erp\"/>
    </mc:Choice>
  </mc:AlternateContent>
  <xr:revisionPtr revIDLastSave="0" documentId="13_ncr:1_{3F549C62-E116-4B8B-82D3-CD80F19B9043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ABRIL" sheetId="1" r:id="rId1"/>
    <sheet name="MAYO" sheetId="2" r:id="rId2"/>
  </sheets>
  <calcPr calcId="191029"/>
</workbook>
</file>

<file path=xl/calcChain.xml><?xml version="1.0" encoding="utf-8"?>
<calcChain xmlns="http://schemas.openxmlformats.org/spreadsheetml/2006/main">
  <c r="F92" i="1" l="1"/>
  <c r="F86" i="1"/>
  <c r="F89" i="1"/>
  <c r="E83" i="1"/>
  <c r="F91" i="1"/>
  <c r="F90" i="1"/>
  <c r="F88" i="1"/>
  <c r="F16" i="2" l="1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2" i="2"/>
  <c r="F87" i="1" l="1"/>
  <c r="F85" i="1"/>
  <c r="F84" i="1"/>
  <c r="F83" i="1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E74" i="1"/>
  <c r="F74" i="1"/>
  <c r="F75" i="1"/>
  <c r="F76" i="1"/>
  <c r="F77" i="1"/>
  <c r="F78" i="1"/>
  <c r="F79" i="1"/>
  <c r="F80" i="1"/>
  <c r="F81" i="1"/>
  <c r="F82" i="1"/>
</calcChain>
</file>

<file path=xl/sharedStrings.xml><?xml version="1.0" encoding="utf-8"?>
<sst xmlns="http://schemas.openxmlformats.org/spreadsheetml/2006/main" count="652" uniqueCount="186">
  <si>
    <t>Estado</t>
  </si>
  <si>
    <t>NÃºmero de artÃ­culos</t>
  </si>
  <si>
    <t>Fe y Hr Crea</t>
  </si>
  <si>
    <t>Tipo ASN</t>
  </si>
  <si>
    <t>Nro de DevoluciÃ³n (RF)</t>
  </si>
  <si>
    <t>Cod Prov Dev</t>
  </si>
  <si>
    <t>N de Sitio</t>
  </si>
  <si>
    <t>InformaciÃ³n de proveedor</t>
  </si>
  <si>
    <t>Fecha de Agenda</t>
  </si>
  <si>
    <t>Informacion de origen</t>
  </si>
  <si>
    <t>Verificado</t>
  </si>
  <si>
    <t>RF</t>
  </si>
  <si>
    <t>ORRDP26EN178771</t>
  </si>
  <si>
    <t>COSIN SCZ</t>
  </si>
  <si>
    <t>COMPANIA DE SERVICIOS INTERNACIONALES LIMITADA COSIN LTDA.</t>
  </si>
  <si>
    <t>CDS</t>
  </si>
  <si>
    <t>ORRDP26MAR179250</t>
  </si>
  <si>
    <t>CENTRAL</t>
  </si>
  <si>
    <t>SCOTT BUSINESS GROUP S.R.L.</t>
  </si>
  <si>
    <t>ORRDP26MAR187785</t>
  </si>
  <si>
    <t>G MASIVOS S.R.L.</t>
  </si>
  <si>
    <t>ORRDP26MAR187802</t>
  </si>
  <si>
    <t>MULTI INTERNACIONAL S.R.L.</t>
  </si>
  <si>
    <t>DP</t>
  </si>
  <si>
    <t>ORRDP26MAR179532</t>
  </si>
  <si>
    <t>GREEN FOREST PRODUCTS S.A.</t>
  </si>
  <si>
    <t>ORRDP26FEB176300</t>
  </si>
  <si>
    <t xml:space="preserve">GREEN FOREST PRODUCTS S.A. </t>
  </si>
  <si>
    <t>ORRDP26MAR179638</t>
  </si>
  <si>
    <t>CASCADA DEL ORIENTE S.A.</t>
  </si>
  <si>
    <t>ORRDP26MAR179463</t>
  </si>
  <si>
    <t>BX BOLIVIANOS</t>
  </si>
  <si>
    <t>BX. BOLIVIA EXCHANGE LIMITADA</t>
  </si>
  <si>
    <t>ORRDP26MAR179644</t>
  </si>
  <si>
    <t>BK S.R.L.</t>
  </si>
  <si>
    <t>ORRDP26MAR187779</t>
  </si>
  <si>
    <t>ADELA JANETH MORENO CAMPOS</t>
  </si>
  <si>
    <t>ORRDP26MAR176308</t>
  </si>
  <si>
    <t>A.J. VIERCI S.R.L.</t>
  </si>
  <si>
    <t>ORRDP25MAR136284</t>
  </si>
  <si>
    <t>INDUSTRIAS AJEBOLIVIA S.A.</t>
  </si>
  <si>
    <t>ORRDP25ABR147243</t>
  </si>
  <si>
    <t>ORRDP25ENE128766</t>
  </si>
  <si>
    <t>ORRDP26MAR187808</t>
  </si>
  <si>
    <t>HO FA LIN</t>
  </si>
  <si>
    <t>ORRDP25JUN157232</t>
  </si>
  <si>
    <t>ORRDP25JUL160017</t>
  </si>
  <si>
    <t>ORRDP25DIC175974</t>
  </si>
  <si>
    <t>ORRDP26MAR190378</t>
  </si>
  <si>
    <t>SECOBOL S.R.L</t>
  </si>
  <si>
    <t>ORRDP26MAR184889</t>
  </si>
  <si>
    <t>GRUPO EMPRESARIAL VALENCIA S.R.L.</t>
  </si>
  <si>
    <t>ORRDP26MAR184848</t>
  </si>
  <si>
    <t>ORRDP26FEB181529</t>
  </si>
  <si>
    <t>ORRDP26FEB184007</t>
  </si>
  <si>
    <t>LICITACION</t>
  </si>
  <si>
    <t>HURTADO PEREDO MEDICAL INSTRUMENT S.R.L. HP MEDICAL S.R.L.</t>
  </si>
  <si>
    <t>ORRDP26MAR184674</t>
  </si>
  <si>
    <t>ORRDP26ENE181672</t>
  </si>
  <si>
    <t>ORRDP26FEB181606</t>
  </si>
  <si>
    <t>ORRDP26MAR184667</t>
  </si>
  <si>
    <t>ORRDP26MAR184871</t>
  </si>
  <si>
    <t>LAFAR</t>
  </si>
  <si>
    <t>LABORATORIOS FARMACEUTICOS LAFAR S.A.</t>
  </si>
  <si>
    <t>ORRDP26FEB181562</t>
  </si>
  <si>
    <t>ORRDP25NOV181481</t>
  </si>
  <si>
    <t>NUTRICIA-BEBELAC</t>
  </si>
  <si>
    <t>DROGUERIA INTI S.A.</t>
  </si>
  <si>
    <t>ORRDP25NOV174832</t>
  </si>
  <si>
    <t>INTI</t>
  </si>
  <si>
    <t>ORRDP25DIC178355</t>
  </si>
  <si>
    <t>ORRDP25OCT169084</t>
  </si>
  <si>
    <t>ORRDP26FEB181530</t>
  </si>
  <si>
    <t>IVANKA FAST FOOD S.R.L.</t>
  </si>
  <si>
    <t>ORRDP26MAR186286</t>
  </si>
  <si>
    <t>ALFA</t>
  </si>
  <si>
    <t>LABORATORIOS ALFA S.A.</t>
  </si>
  <si>
    <t>ORRDP26MAR184672</t>
  </si>
  <si>
    <t>SAE NEW</t>
  </si>
  <si>
    <t>SOUTH AMERICAN EXPRESS S.A.</t>
  </si>
  <si>
    <t>ORRDP25DIC169084</t>
  </si>
  <si>
    <t>ORRDP26ABR187874</t>
  </si>
  <si>
    <t>INGENIO SUCROALCOHOLERO AGUAI S.A..</t>
  </si>
  <si>
    <t>ORRDP26ENE179208</t>
  </si>
  <si>
    <t>MINOIL S.A.</t>
  </si>
  <si>
    <t>ORRDP26MAR176319</t>
  </si>
  <si>
    <t>ORRDP26MAR190370</t>
  </si>
  <si>
    <t>INDUSTRIAS BONGO BONGO LTDA.</t>
  </si>
  <si>
    <t>ORRDP26MAR176340</t>
  </si>
  <si>
    <t>CEDIS DOLLY</t>
  </si>
  <si>
    <t>TORTAS DOLLY S.R.L.</t>
  </si>
  <si>
    <t>ORRDP26MAR187801</t>
  </si>
  <si>
    <t>GABRIELA YEPEZ MORALES</t>
  </si>
  <si>
    <t>ORRDP26FEB175898</t>
  </si>
  <si>
    <t>BELMED PROFESIONAL</t>
  </si>
  <si>
    <t>BELMED LIMITADA</t>
  </si>
  <si>
    <t>ORRDP26MAR187795</t>
  </si>
  <si>
    <t>PEPITA GUZMAN JORDAN</t>
  </si>
  <si>
    <t>ORRDP26MAR187873</t>
  </si>
  <si>
    <t>OVANDITO SRL</t>
  </si>
  <si>
    <t>ORRDP26MAR179541</t>
  </si>
  <si>
    <t>INDUSTRIAS KANTUTA S.R.L.</t>
  </si>
  <si>
    <t>ORRDP26MAR179631</t>
  </si>
  <si>
    <t>ALCIDES ROJAS CUELLAR</t>
  </si>
  <si>
    <t>ORRDP26MAR179633</t>
  </si>
  <si>
    <t>ORRDP26MAR179634</t>
  </si>
  <si>
    <t>ALIMENTARIA S.R.L.</t>
  </si>
  <si>
    <t>ORRDP26ABR195397</t>
  </si>
  <si>
    <t>PRODUCTOS SANCELA DEL PERU S.A (SUCURSAL BOLIVIA)</t>
  </si>
  <si>
    <t>ORRDP26FEB195396</t>
  </si>
  <si>
    <t>BEBIDAS E IMPULSO</t>
  </si>
  <si>
    <t>ALCA GROUP S.R.L</t>
  </si>
  <si>
    <t>ORRDP26MAR184851</t>
  </si>
  <si>
    <t>GEDESA LTDA</t>
  </si>
  <si>
    <t>ORRDP26MAZ184685</t>
  </si>
  <si>
    <t>IFA</t>
  </si>
  <si>
    <t>LABORATORIOS IFA S.A.</t>
  </si>
  <si>
    <t>ORRDP26MAR184837</t>
  </si>
  <si>
    <t>ORRDP26FEB181527</t>
  </si>
  <si>
    <t>LOBA IMPORT EXPORT S.R.L.</t>
  </si>
  <si>
    <t>ORRD26MAR194890</t>
  </si>
  <si>
    <t>ORRDP26FEB181572</t>
  </si>
  <si>
    <t>MEGALABS</t>
  </si>
  <si>
    <t>MEGALABS BOLIVIA S.R.L.</t>
  </si>
  <si>
    <t>ORRDP26ABR194797</t>
  </si>
  <si>
    <t>INALTEX MP</t>
  </si>
  <si>
    <t>INDUSTRIA ALGODONERA TEXTIL LTDA. INALTEX.</t>
  </si>
  <si>
    <t>ORRDP26MAR187820</t>
  </si>
  <si>
    <t>MARCAS Y ALIMENTOS RETROPOSMODERNOS S.R.L.</t>
  </si>
  <si>
    <t>ORRDP25DIC175941</t>
  </si>
  <si>
    <t xml:space="preserve"> CENTRAL</t>
  </si>
  <si>
    <t>CORPAL S.R.L</t>
  </si>
  <si>
    <t>ORRDP26ABR185483</t>
  </si>
  <si>
    <t>ALMACEN GUAPOMO SANTA CRUZ S.R.L. S</t>
  </si>
  <si>
    <t xml:space="preserve">ORRDP26ENE176203 </t>
  </si>
  <si>
    <t xml:space="preserve">CORPAL S.R.L </t>
  </si>
  <si>
    <t>ORRDP26FEB176315</t>
  </si>
  <si>
    <t>ORRDP26ABR176219</t>
  </si>
  <si>
    <t>INDUSTRIAS QUIMICAS CIMBOL S.R.L.</t>
  </si>
  <si>
    <t>ORRDP26MAR190542</t>
  </si>
  <si>
    <t>ORRDP26MAR179443</t>
  </si>
  <si>
    <t>REMBERTO RODRIGUEZ DAVIEDS</t>
  </si>
  <si>
    <t>ORRDP26MAR179664</t>
  </si>
  <si>
    <t>BRILLO TINTAS LTDA.</t>
  </si>
  <si>
    <t>ORRDP26ENE179204</t>
  </si>
  <si>
    <t>JORGE ALEJANDRO PEREIRA DELGADO</t>
  </si>
  <si>
    <t>ORRDP26FEB179241</t>
  </si>
  <si>
    <t>ORRDP26MAR179530</t>
  </si>
  <si>
    <t>SILVIA DELGADO ARANCIBIA VDA DE PEREIRA</t>
  </si>
  <si>
    <t>ORRDP26FEB176325</t>
  </si>
  <si>
    <t>ORRDP26MAR187805</t>
  </si>
  <si>
    <t>ORRDP26MAR184842</t>
  </si>
  <si>
    <t>SANT DRUG S.R.L.</t>
  </si>
  <si>
    <t>ORRDP25AGO164682</t>
  </si>
  <si>
    <t>OSCAR DANIEL PAZ LOPEZ</t>
  </si>
  <si>
    <t>ORRDP26MAR184866</t>
  </si>
  <si>
    <t>ALCOS</t>
  </si>
  <si>
    <t>GRUPO ALCOS S A</t>
  </si>
  <si>
    <t>ORRDP26MAR184868</t>
  </si>
  <si>
    <t>COFAR</t>
  </si>
  <si>
    <t>COFAR S.A.</t>
  </si>
  <si>
    <t>ORRDP26MAR186317</t>
  </si>
  <si>
    <t>RAICES</t>
  </si>
  <si>
    <t>RAICES IMPORT EXPORT LTDA.</t>
  </si>
  <si>
    <t>QUIMIZA LTDA</t>
  </si>
  <si>
    <t>ORRDP25NOV174767</t>
  </si>
  <si>
    <t>QUIMFA</t>
  </si>
  <si>
    <t>IMPORTADORA FARMACEUTICA QUIMFA BOLIVIA SOCIEDAD ANONIMA</t>
  </si>
  <si>
    <t>ORRDP26FEB181613</t>
  </si>
  <si>
    <t>ORRDP26ABR185423</t>
  </si>
  <si>
    <t>COMERCIALIZADORA ALTEI S.A.</t>
  </si>
  <si>
    <t>ORRDP26ABR185416</t>
  </si>
  <si>
    <t>NEYSA PONCE PRADO</t>
  </si>
  <si>
    <t>ORRDP26ENE175798</t>
  </si>
  <si>
    <t>ORRDP26ABR185491</t>
  </si>
  <si>
    <t>LIOPET S.R.L.</t>
  </si>
  <si>
    <t>ORRDP26ABR195398</t>
  </si>
  <si>
    <t>ORRDP26ABR185505</t>
  </si>
  <si>
    <t>ORRDP26ABR185429</t>
  </si>
  <si>
    <t>PAOLA MAYSER PEREIRA</t>
  </si>
  <si>
    <t>ORRDP26ABR185449</t>
  </si>
  <si>
    <t>LAMELIN Y BEAUTY Y.L. LTDA.</t>
  </si>
  <si>
    <t>ORRDP26ABR185499</t>
  </si>
  <si>
    <t>ANA CAROL MONTENEGRO DORADO</t>
  </si>
  <si>
    <t>ORRDP26MAR179545</t>
  </si>
  <si>
    <t>VALENCIA CITRUS SRL.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</si>
</sst>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54A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22" fontId="0" fillId="33" borderId="0" xfId="0" applyNumberFormat="1" applyFill="1"/>
    <xf numFmtId="14" fontId="0" fillId="33" borderId="0" xfId="0" applyNumberFormat="1" applyFill="1"/>
    <xf numFmtId="22" fontId="0" fillId="0" borderId="0" xfId="0" applyNumberFormat="1"/>
    <xf numFmtId="14" fontId="0" fillId="0" borderId="0" xfId="0" applyNumberFormat="1"/>
    <xf numFmtId="0" fontId="0" fillId="34" borderId="0" xfId="0" applyFill="1"/>
    <xf numFmtId="0" fontId="0" fillId="35" borderId="0" xfId="0" applyFill="1"/>
    <xf numFmtId="22" fontId="0" fillId="35" borderId="0" xfId="0" applyNumberFormat="1" applyFill="1"/>
    <xf numFmtId="14" fontId="0" fillId="35" borderId="0" xfId="0" applyNumberFormat="1" applyFill="1"/>
    <xf numFmtId="22" fontId="18" fillId="35" borderId="0" xfId="0" applyNumberFormat="1" applyFont="1" applyFill="1"/>
    <xf numFmtId="0" fontId="18" fillId="35" borderId="0" xfId="0" applyFont="1" applyFill="1"/>
    <xf numFmtId="1" fontId="0" fillId="35" borderId="0" xfId="0" applyNumberFormat="1" applyFill="1" applyAlignment="1">
      <alignment horizontal="left"/>
    </xf>
    <xf numFmtId="14" fontId="18" fillId="35" borderId="0" xfId="0" applyNumberFormat="1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254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zoomScale="85" zoomScaleNormal="85" workbookViewId="0">
      <selection activeCell="C93" sqref="C93"/>
    </sheetView>
  </sheetViews>
  <sheetFormatPr baseColWidth="10" defaultRowHeight="15" x14ac:dyDescent="0.25"/>
  <cols>
    <col min="1" max="1" width="10.140625" bestFit="1" customWidth="1"/>
    <col min="2" max="2" width="21.7109375" bestFit="1" customWidth="1"/>
    <col min="3" max="3" width="14.7109375" bestFit="1" customWidth="1"/>
    <col min="4" max="4" width="9" bestFit="1" customWidth="1"/>
    <col min="5" max="5" width="40.7109375" bestFit="1" customWidth="1"/>
    <col min="6" max="6" width="12.7109375" bestFit="1" customWidth="1"/>
    <col min="7" max="7" width="20.85546875" bestFit="1" customWidth="1"/>
    <col min="8" max="8" width="62" bestFit="1" customWidth="1"/>
    <col min="9" max="9" width="16.140625" bestFit="1" customWidth="1"/>
    <col min="10" max="10" width="20.7109375" bestFit="1" customWidth="1"/>
    <col min="11" max="11" width="14.28515625" bestFit="1" customWidth="1"/>
    <col min="13" max="13" width="14.28515625" bestFit="1" customWidth="1"/>
  </cols>
  <sheetData>
    <row r="1" spans="1:10" s="1" customFormat="1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" customFormat="1" ht="18.75" hidden="1" customHeight="1" x14ac:dyDescent="0.25">
      <c r="A2" s="1" t="s">
        <v>10</v>
      </c>
      <c r="B2" s="1">
        <v>1</v>
      </c>
      <c r="C2" s="2">
        <v>46112.438518518517</v>
      </c>
      <c r="D2" s="1" t="s">
        <v>11</v>
      </c>
      <c r="E2" s="1" t="s">
        <v>12</v>
      </c>
      <c r="F2" s="1" t="str">
        <f>"002355"</f>
        <v>002355</v>
      </c>
      <c r="G2" s="1" t="s">
        <v>13</v>
      </c>
      <c r="H2" s="1" t="s">
        <v>14</v>
      </c>
      <c r="I2" s="3">
        <v>46112</v>
      </c>
      <c r="J2" s="1" t="s">
        <v>15</v>
      </c>
    </row>
    <row r="3" spans="1:10" s="1" customFormat="1" ht="18.75" hidden="1" customHeight="1" x14ac:dyDescent="0.25">
      <c r="A3" s="1" t="s">
        <v>10</v>
      </c>
      <c r="B3" s="1">
        <v>1</v>
      </c>
      <c r="C3" s="2">
        <v>46112.558136574073</v>
      </c>
      <c r="D3" s="1" t="s">
        <v>11</v>
      </c>
      <c r="E3" s="1" t="s">
        <v>16</v>
      </c>
      <c r="F3" s="1" t="str">
        <f>"11172"</f>
        <v>11172</v>
      </c>
      <c r="G3" s="1" t="s">
        <v>17</v>
      </c>
      <c r="H3" s="1" t="s">
        <v>18</v>
      </c>
      <c r="I3" s="3">
        <v>46113</v>
      </c>
      <c r="J3" s="1" t="s">
        <v>15</v>
      </c>
    </row>
    <row r="4" spans="1:10" s="1" customFormat="1" ht="18.75" hidden="1" customHeight="1" x14ac:dyDescent="0.25">
      <c r="A4" s="1" t="s">
        <v>10</v>
      </c>
      <c r="B4" s="1">
        <v>9</v>
      </c>
      <c r="C4" s="2">
        <v>46112.560069444444</v>
      </c>
      <c r="D4" s="1" t="s">
        <v>11</v>
      </c>
      <c r="E4" s="1" t="s">
        <v>19</v>
      </c>
      <c r="F4" s="1" t="str">
        <f>"004235"</f>
        <v>004235</v>
      </c>
      <c r="G4" s="1" t="s">
        <v>17</v>
      </c>
      <c r="H4" s="1" t="s">
        <v>20</v>
      </c>
      <c r="I4" s="3">
        <v>46113</v>
      </c>
      <c r="J4" s="1" t="s">
        <v>15</v>
      </c>
    </row>
    <row r="5" spans="1:10" s="1" customFormat="1" ht="18.75" hidden="1" customHeight="1" x14ac:dyDescent="0.25">
      <c r="A5" s="1" t="s">
        <v>10</v>
      </c>
      <c r="B5" s="1">
        <v>2</v>
      </c>
      <c r="C5" s="2">
        <v>46112.575902777775</v>
      </c>
      <c r="D5" s="1" t="s">
        <v>11</v>
      </c>
      <c r="E5" s="1" t="s">
        <v>21</v>
      </c>
      <c r="F5" s="1" t="str">
        <f>"002216"</f>
        <v>002216</v>
      </c>
      <c r="G5" s="1" t="s">
        <v>17</v>
      </c>
      <c r="H5" s="1" t="s">
        <v>22</v>
      </c>
      <c r="I5" s="3">
        <v>46113</v>
      </c>
      <c r="J5" s="1" t="s">
        <v>23</v>
      </c>
    </row>
    <row r="6" spans="1:10" s="1" customFormat="1" ht="18.75" hidden="1" customHeight="1" x14ac:dyDescent="0.25">
      <c r="A6" s="1" t="s">
        <v>10</v>
      </c>
      <c r="B6" s="1">
        <v>3</v>
      </c>
      <c r="C6" s="2">
        <v>46112.584479166668</v>
      </c>
      <c r="D6" s="1" t="s">
        <v>11</v>
      </c>
      <c r="E6" s="1" t="s">
        <v>24</v>
      </c>
      <c r="F6" s="1" t="str">
        <f>"10609"</f>
        <v>10609</v>
      </c>
      <c r="G6" s="1" t="s">
        <v>17</v>
      </c>
      <c r="H6" s="1" t="s">
        <v>25</v>
      </c>
      <c r="I6" s="3">
        <v>46113</v>
      </c>
      <c r="J6" s="1" t="s">
        <v>23</v>
      </c>
    </row>
    <row r="7" spans="1:10" s="1" customFormat="1" ht="18.75" hidden="1" customHeight="1" x14ac:dyDescent="0.25">
      <c r="A7" s="1" t="s">
        <v>10</v>
      </c>
      <c r="B7" s="1">
        <v>1</v>
      </c>
      <c r="C7" s="2">
        <v>46112.589907407404</v>
      </c>
      <c r="D7" s="1" t="s">
        <v>11</v>
      </c>
      <c r="E7" s="1" t="s">
        <v>26</v>
      </c>
      <c r="F7" s="1" t="str">
        <f>"10609"</f>
        <v>10609</v>
      </c>
      <c r="G7" s="1" t="s">
        <v>17</v>
      </c>
      <c r="H7" s="1" t="s">
        <v>27</v>
      </c>
      <c r="I7" s="3">
        <v>46113</v>
      </c>
      <c r="J7" s="1" t="s">
        <v>23</v>
      </c>
    </row>
    <row r="8" spans="1:10" s="1" customFormat="1" ht="18.75" hidden="1" customHeight="1" x14ac:dyDescent="0.25">
      <c r="A8" s="1" t="s">
        <v>10</v>
      </c>
      <c r="B8" s="1">
        <v>2</v>
      </c>
      <c r="C8" s="2">
        <v>46112.595497685186</v>
      </c>
      <c r="D8" s="1" t="s">
        <v>11</v>
      </c>
      <c r="E8" s="1" t="s">
        <v>28</v>
      </c>
      <c r="F8" s="1" t="str">
        <f>"001307"</f>
        <v>001307</v>
      </c>
      <c r="G8" s="1" t="s">
        <v>17</v>
      </c>
      <c r="H8" s="1" t="s">
        <v>29</v>
      </c>
      <c r="I8" s="3">
        <v>46113</v>
      </c>
      <c r="J8" s="1" t="s">
        <v>23</v>
      </c>
    </row>
    <row r="9" spans="1:10" s="1" customFormat="1" ht="18.75" hidden="1" customHeight="1" x14ac:dyDescent="0.25">
      <c r="A9" s="1" t="s">
        <v>10</v>
      </c>
      <c r="B9" s="1">
        <v>1</v>
      </c>
      <c r="C9" s="2">
        <v>46112.596435185187</v>
      </c>
      <c r="D9" s="1" t="s">
        <v>11</v>
      </c>
      <c r="E9" s="1" t="s">
        <v>30</v>
      </c>
      <c r="F9" s="1" t="str">
        <f>"001295"</f>
        <v>001295</v>
      </c>
      <c r="G9" s="1" t="s">
        <v>31</v>
      </c>
      <c r="H9" s="1" t="s">
        <v>32</v>
      </c>
      <c r="I9" s="3">
        <v>46113</v>
      </c>
      <c r="J9" s="1" t="s">
        <v>23</v>
      </c>
    </row>
    <row r="10" spans="1:10" s="1" customFormat="1" ht="18.75" hidden="1" customHeight="1" x14ac:dyDescent="0.25">
      <c r="A10" s="1" t="s">
        <v>10</v>
      </c>
      <c r="B10" s="1">
        <v>1</v>
      </c>
      <c r="C10" s="2">
        <v>46112.60359953704</v>
      </c>
      <c r="D10" s="1" t="s">
        <v>11</v>
      </c>
      <c r="E10" s="1" t="s">
        <v>33</v>
      </c>
      <c r="F10" s="1" t="str">
        <f>"002047"</f>
        <v>002047</v>
      </c>
      <c r="G10" s="1" t="s">
        <v>17</v>
      </c>
      <c r="H10" s="1" t="s">
        <v>34</v>
      </c>
      <c r="I10" s="3">
        <v>46113</v>
      </c>
      <c r="J10" s="1" t="s">
        <v>23</v>
      </c>
    </row>
    <row r="11" spans="1:10" s="1" customFormat="1" ht="18.75" hidden="1" customHeight="1" x14ac:dyDescent="0.25">
      <c r="A11" s="1" t="s">
        <v>10</v>
      </c>
      <c r="B11" s="1">
        <v>13</v>
      </c>
      <c r="C11" s="2">
        <v>46112.605115740742</v>
      </c>
      <c r="D11" s="1" t="s">
        <v>11</v>
      </c>
      <c r="E11" s="1" t="s">
        <v>35</v>
      </c>
      <c r="F11" s="1" t="str">
        <f>"10557"</f>
        <v>10557</v>
      </c>
      <c r="G11" s="1" t="s">
        <v>17</v>
      </c>
      <c r="H11" s="1" t="s">
        <v>36</v>
      </c>
      <c r="I11" s="3">
        <v>46113</v>
      </c>
      <c r="J11" s="1" t="s">
        <v>23</v>
      </c>
    </row>
    <row r="12" spans="1:10" s="1" customFormat="1" ht="18.75" hidden="1" customHeight="1" x14ac:dyDescent="0.25">
      <c r="A12" s="1" t="s">
        <v>10</v>
      </c>
      <c r="B12" s="1">
        <v>1</v>
      </c>
      <c r="C12" s="2">
        <v>46112.612071759257</v>
      </c>
      <c r="D12" s="1" t="s">
        <v>11</v>
      </c>
      <c r="E12" s="1" t="s">
        <v>37</v>
      </c>
      <c r="F12" s="1" t="str">
        <f>"002633"</f>
        <v>002633</v>
      </c>
      <c r="G12" s="1" t="s">
        <v>17</v>
      </c>
      <c r="H12" s="1" t="s">
        <v>38</v>
      </c>
      <c r="I12" s="3">
        <v>46113</v>
      </c>
      <c r="J12" s="1" t="s">
        <v>23</v>
      </c>
    </row>
    <row r="13" spans="1:10" s="1" customFormat="1" ht="18.75" hidden="1" customHeight="1" x14ac:dyDescent="0.25">
      <c r="A13" s="1" t="s">
        <v>10</v>
      </c>
      <c r="B13" s="1">
        <v>2</v>
      </c>
      <c r="C13" s="2">
        <v>46112.614317129628</v>
      </c>
      <c r="D13" s="1" t="s">
        <v>11</v>
      </c>
      <c r="E13" s="1" t="s">
        <v>39</v>
      </c>
      <c r="F13" s="1" t="str">
        <f>"10536"</f>
        <v>10536</v>
      </c>
      <c r="G13" s="1" t="s">
        <v>17</v>
      </c>
      <c r="H13" s="1" t="s">
        <v>40</v>
      </c>
      <c r="I13" s="3">
        <v>46113</v>
      </c>
      <c r="J13" s="1" t="s">
        <v>23</v>
      </c>
    </row>
    <row r="14" spans="1:10" s="1" customFormat="1" ht="18.75" hidden="1" customHeight="1" x14ac:dyDescent="0.25">
      <c r="A14" s="1" t="s">
        <v>10</v>
      </c>
      <c r="B14" s="1">
        <v>2</v>
      </c>
      <c r="C14" s="2">
        <v>46112.620775462965</v>
      </c>
      <c r="D14" s="1" t="s">
        <v>11</v>
      </c>
      <c r="E14" s="1" t="s">
        <v>41</v>
      </c>
      <c r="F14" s="1" t="str">
        <f>"10536"</f>
        <v>10536</v>
      </c>
      <c r="G14" s="1" t="s">
        <v>17</v>
      </c>
      <c r="H14" s="1" t="s">
        <v>40</v>
      </c>
      <c r="I14" s="3">
        <v>46113</v>
      </c>
      <c r="J14" s="1" t="s">
        <v>23</v>
      </c>
    </row>
    <row r="15" spans="1:10" s="1" customFormat="1" ht="18.75" hidden="1" customHeight="1" x14ac:dyDescent="0.25">
      <c r="A15" s="1" t="s">
        <v>10</v>
      </c>
      <c r="B15" s="1">
        <v>1</v>
      </c>
      <c r="C15" s="2">
        <v>46112.624305555553</v>
      </c>
      <c r="D15" s="1" t="s">
        <v>11</v>
      </c>
      <c r="E15" s="1" t="s">
        <v>42</v>
      </c>
      <c r="F15" s="1" t="str">
        <f>"10536"</f>
        <v>10536</v>
      </c>
      <c r="G15" s="1" t="s">
        <v>17</v>
      </c>
      <c r="H15" s="1" t="s">
        <v>40</v>
      </c>
      <c r="I15" s="3">
        <v>46113</v>
      </c>
      <c r="J15" s="1" t="s">
        <v>23</v>
      </c>
    </row>
    <row r="16" spans="1:10" s="1" customFormat="1" ht="18.75" hidden="1" customHeight="1" x14ac:dyDescent="0.25">
      <c r="A16" s="1" t="s">
        <v>10</v>
      </c>
      <c r="B16" s="1">
        <v>2</v>
      </c>
      <c r="C16" s="2">
        <v>46113.668333333335</v>
      </c>
      <c r="D16" s="1" t="s">
        <v>11</v>
      </c>
      <c r="E16" s="1" t="s">
        <v>43</v>
      </c>
      <c r="F16" s="1" t="str">
        <f>"002330"</f>
        <v>002330</v>
      </c>
      <c r="G16" s="1" t="s">
        <v>17</v>
      </c>
      <c r="H16" s="1" t="s">
        <v>44</v>
      </c>
      <c r="I16" s="3">
        <v>46114</v>
      </c>
      <c r="J16" s="1" t="s">
        <v>23</v>
      </c>
    </row>
    <row r="17" spans="1:10" s="1" customFormat="1" ht="18.75" hidden="1" customHeight="1" x14ac:dyDescent="0.25">
      <c r="A17" s="1" t="s">
        <v>10</v>
      </c>
      <c r="B17" s="1">
        <v>2</v>
      </c>
      <c r="C17" s="2">
        <v>46113.671377314815</v>
      </c>
      <c r="D17" s="1" t="s">
        <v>11</v>
      </c>
      <c r="E17" s="1" t="s">
        <v>45</v>
      </c>
      <c r="F17" s="1" t="str">
        <f>"10557"</f>
        <v>10557</v>
      </c>
      <c r="G17" s="1" t="s">
        <v>17</v>
      </c>
      <c r="H17" s="1" t="s">
        <v>36</v>
      </c>
      <c r="I17" s="3">
        <v>46114</v>
      </c>
      <c r="J17" s="1" t="s">
        <v>23</v>
      </c>
    </row>
    <row r="18" spans="1:10" s="1" customFormat="1" ht="18.75" hidden="1" customHeight="1" x14ac:dyDescent="0.25">
      <c r="A18" s="1" t="s">
        <v>10</v>
      </c>
      <c r="B18" s="1">
        <v>2</v>
      </c>
      <c r="C18" s="2">
        <v>46113.67255787037</v>
      </c>
      <c r="D18" s="1" t="s">
        <v>11</v>
      </c>
      <c r="E18" s="1" t="s">
        <v>46</v>
      </c>
      <c r="F18" s="1" t="str">
        <f>"10557"</f>
        <v>10557</v>
      </c>
      <c r="G18" s="1" t="s">
        <v>17</v>
      </c>
      <c r="H18" s="1" t="s">
        <v>36</v>
      </c>
      <c r="I18" s="3">
        <v>46114</v>
      </c>
      <c r="J18" s="1" t="s">
        <v>23</v>
      </c>
    </row>
    <row r="19" spans="1:10" s="1" customFormat="1" ht="18.75" hidden="1" customHeight="1" x14ac:dyDescent="0.25">
      <c r="A19" s="1" t="s">
        <v>10</v>
      </c>
      <c r="B19" s="1">
        <v>2</v>
      </c>
      <c r="C19" s="2">
        <v>46113.674525462964</v>
      </c>
      <c r="D19" s="1" t="s">
        <v>11</v>
      </c>
      <c r="E19" s="1" t="s">
        <v>47</v>
      </c>
      <c r="F19" s="1" t="str">
        <f>"10557"</f>
        <v>10557</v>
      </c>
      <c r="G19" s="1" t="s">
        <v>17</v>
      </c>
      <c r="H19" s="1" t="s">
        <v>36</v>
      </c>
      <c r="I19" s="3">
        <v>46114</v>
      </c>
      <c r="J19" s="1" t="s">
        <v>23</v>
      </c>
    </row>
    <row r="20" spans="1:10" s="1" customFormat="1" ht="18.75" hidden="1" customHeight="1" x14ac:dyDescent="0.25">
      <c r="A20" s="1" t="s">
        <v>10</v>
      </c>
      <c r="B20" s="1">
        <v>21</v>
      </c>
      <c r="C20" s="2">
        <v>46113.677094907405</v>
      </c>
      <c r="D20" s="1" t="s">
        <v>11</v>
      </c>
      <c r="E20" s="1" t="s">
        <v>48</v>
      </c>
      <c r="F20" s="1" t="str">
        <f>"004309"</f>
        <v>004309</v>
      </c>
      <c r="G20" s="1" t="s">
        <v>17</v>
      </c>
      <c r="H20" s="1" t="s">
        <v>49</v>
      </c>
      <c r="I20" s="3">
        <v>46114</v>
      </c>
      <c r="J20" s="1" t="s">
        <v>23</v>
      </c>
    </row>
    <row r="21" spans="1:10" s="1" customFormat="1" ht="18.75" hidden="1" customHeight="1" x14ac:dyDescent="0.25">
      <c r="A21" s="1" t="s">
        <v>10</v>
      </c>
      <c r="B21" s="1">
        <v>3</v>
      </c>
      <c r="C21" s="2">
        <v>46114.45008101852</v>
      </c>
      <c r="D21" s="1" t="s">
        <v>11</v>
      </c>
      <c r="E21" s="1" t="s">
        <v>50</v>
      </c>
      <c r="F21" s="1" t="str">
        <f>"000066"</f>
        <v>000066</v>
      </c>
      <c r="G21" s="1" t="s">
        <v>17</v>
      </c>
      <c r="H21" s="1" t="s">
        <v>51</v>
      </c>
      <c r="I21" s="3">
        <v>46120</v>
      </c>
      <c r="J21" s="1" t="s">
        <v>15</v>
      </c>
    </row>
    <row r="22" spans="1:10" s="1" customFormat="1" ht="18.75" hidden="1" customHeight="1" x14ac:dyDescent="0.25">
      <c r="A22" s="1" t="s">
        <v>10</v>
      </c>
      <c r="B22" s="1">
        <v>1</v>
      </c>
      <c r="C22" s="2">
        <v>46114.452777777777</v>
      </c>
      <c r="D22" s="1" t="s">
        <v>11</v>
      </c>
      <c r="E22" s="1" t="s">
        <v>52</v>
      </c>
      <c r="F22" s="1" t="str">
        <f>"000066"</f>
        <v>000066</v>
      </c>
      <c r="G22" s="1" t="s">
        <v>17</v>
      </c>
      <c r="H22" s="1" t="s">
        <v>51</v>
      </c>
      <c r="I22" s="3">
        <v>46120</v>
      </c>
      <c r="J22" s="1" t="s">
        <v>15</v>
      </c>
    </row>
    <row r="23" spans="1:10" s="1" customFormat="1" ht="18.75" hidden="1" customHeight="1" x14ac:dyDescent="0.25">
      <c r="A23" s="1" t="s">
        <v>10</v>
      </c>
      <c r="B23" s="1">
        <v>1</v>
      </c>
      <c r="C23" s="2">
        <v>46114.454965277779</v>
      </c>
      <c r="D23" s="1" t="s">
        <v>11</v>
      </c>
      <c r="E23" s="1" t="s">
        <v>53</v>
      </c>
      <c r="F23" s="1" t="str">
        <f>"000066"</f>
        <v>000066</v>
      </c>
      <c r="G23" s="1" t="s">
        <v>17</v>
      </c>
      <c r="H23" s="1" t="s">
        <v>51</v>
      </c>
      <c r="I23" s="3">
        <v>46120</v>
      </c>
      <c r="J23" s="1" t="s">
        <v>23</v>
      </c>
    </row>
    <row r="24" spans="1:10" s="1" customFormat="1" ht="18.75" hidden="1" customHeight="1" x14ac:dyDescent="0.25">
      <c r="A24" s="1" t="s">
        <v>10</v>
      </c>
      <c r="B24" s="1">
        <v>1</v>
      </c>
      <c r="C24" s="2">
        <v>46114.460231481484</v>
      </c>
      <c r="D24" s="1" t="s">
        <v>11</v>
      </c>
      <c r="E24" s="1" t="s">
        <v>54</v>
      </c>
      <c r="F24" s="1" t="str">
        <f>"001708"</f>
        <v>001708</v>
      </c>
      <c r="G24" s="1" t="s">
        <v>55</v>
      </c>
      <c r="H24" s="1" t="s">
        <v>56</v>
      </c>
      <c r="I24" s="3">
        <v>46120</v>
      </c>
      <c r="J24" s="1" t="s">
        <v>15</v>
      </c>
    </row>
    <row r="25" spans="1:10" s="1" customFormat="1" ht="18.75" hidden="1" customHeight="1" x14ac:dyDescent="0.25">
      <c r="A25" s="1" t="s">
        <v>10</v>
      </c>
      <c r="B25" s="1">
        <v>1</v>
      </c>
      <c r="C25" s="2">
        <v>46114.462326388886</v>
      </c>
      <c r="D25" s="1" t="s">
        <v>11</v>
      </c>
      <c r="E25" s="1" t="s">
        <v>57</v>
      </c>
      <c r="F25" s="1" t="str">
        <f>"001708"</f>
        <v>001708</v>
      </c>
      <c r="G25" s="1" t="s">
        <v>55</v>
      </c>
      <c r="H25" s="1" t="s">
        <v>56</v>
      </c>
      <c r="I25" s="3">
        <v>46114</v>
      </c>
      <c r="J25" s="1" t="s">
        <v>15</v>
      </c>
    </row>
    <row r="26" spans="1:10" s="1" customFormat="1" ht="18.75" hidden="1" customHeight="1" x14ac:dyDescent="0.25">
      <c r="A26" s="1" t="s">
        <v>10</v>
      </c>
      <c r="B26" s="1">
        <v>1</v>
      </c>
      <c r="C26" s="2">
        <v>46114.46435185185</v>
      </c>
      <c r="D26" s="1" t="s">
        <v>11</v>
      </c>
      <c r="E26" s="1" t="s">
        <v>58</v>
      </c>
      <c r="F26" s="1" t="str">
        <f>"001708"</f>
        <v>001708</v>
      </c>
      <c r="G26" s="1" t="s">
        <v>55</v>
      </c>
      <c r="H26" s="1" t="s">
        <v>56</v>
      </c>
      <c r="I26" s="3">
        <v>46120</v>
      </c>
      <c r="J26" s="1" t="s">
        <v>15</v>
      </c>
    </row>
    <row r="27" spans="1:10" s="1" customFormat="1" ht="18.75" hidden="1" customHeight="1" x14ac:dyDescent="0.25">
      <c r="A27" s="1" t="s">
        <v>10</v>
      </c>
      <c r="B27" s="1">
        <v>4</v>
      </c>
      <c r="C27" s="2">
        <v>46114.46603009259</v>
      </c>
      <c r="D27" s="1" t="s">
        <v>11</v>
      </c>
      <c r="E27" s="1" t="s">
        <v>59</v>
      </c>
      <c r="F27" s="1" t="str">
        <f>"001708"</f>
        <v>001708</v>
      </c>
      <c r="G27" s="1" t="s">
        <v>17</v>
      </c>
      <c r="H27" s="1" t="s">
        <v>56</v>
      </c>
      <c r="I27" s="3">
        <v>46114</v>
      </c>
      <c r="J27" s="1" t="s">
        <v>15</v>
      </c>
    </row>
    <row r="28" spans="1:10" s="1" customFormat="1" ht="18.75" hidden="1" customHeight="1" x14ac:dyDescent="0.25">
      <c r="A28" s="1" t="s">
        <v>10</v>
      </c>
      <c r="B28" s="1">
        <v>4</v>
      </c>
      <c r="C28" s="2">
        <v>46114.470092592594</v>
      </c>
      <c r="D28" s="1" t="s">
        <v>11</v>
      </c>
      <c r="E28" s="1" t="s">
        <v>60</v>
      </c>
      <c r="F28" s="1" t="str">
        <f>"001708"</f>
        <v>001708</v>
      </c>
      <c r="G28" s="1" t="s">
        <v>17</v>
      </c>
      <c r="H28" s="1" t="s">
        <v>56</v>
      </c>
      <c r="I28" s="3">
        <v>46120</v>
      </c>
      <c r="J28" s="1" t="s">
        <v>15</v>
      </c>
    </row>
    <row r="29" spans="1:10" s="1" customFormat="1" ht="18.75" hidden="1" customHeight="1" x14ac:dyDescent="0.25">
      <c r="A29" s="1" t="s">
        <v>10</v>
      </c>
      <c r="B29" s="1">
        <v>9</v>
      </c>
      <c r="C29" s="2">
        <v>46114.473715277774</v>
      </c>
      <c r="D29" s="1" t="s">
        <v>11</v>
      </c>
      <c r="E29" s="1" t="s">
        <v>61</v>
      </c>
      <c r="F29" s="1" t="str">
        <f>"000137"</f>
        <v>000137</v>
      </c>
      <c r="G29" s="1" t="s">
        <v>62</v>
      </c>
      <c r="H29" s="1" t="s">
        <v>63</v>
      </c>
      <c r="I29" s="3">
        <v>46120</v>
      </c>
      <c r="J29" s="1" t="s">
        <v>15</v>
      </c>
    </row>
    <row r="30" spans="1:10" s="1" customFormat="1" ht="18.75" hidden="1" customHeight="1" x14ac:dyDescent="0.25">
      <c r="A30" s="1" t="s">
        <v>10</v>
      </c>
      <c r="B30" s="1">
        <v>1</v>
      </c>
      <c r="C30" s="2">
        <v>46114.479328703703</v>
      </c>
      <c r="D30" s="1" t="s">
        <v>11</v>
      </c>
      <c r="E30" s="1" t="s">
        <v>64</v>
      </c>
      <c r="F30" s="1" t="str">
        <f>"000066"</f>
        <v>000066</v>
      </c>
      <c r="G30" s="1" t="s">
        <v>55</v>
      </c>
      <c r="H30" s="1" t="s">
        <v>51</v>
      </c>
      <c r="I30" s="3">
        <v>46120</v>
      </c>
      <c r="J30" s="1" t="s">
        <v>15</v>
      </c>
    </row>
    <row r="31" spans="1:10" s="1" customFormat="1" ht="18.75" hidden="1" customHeight="1" x14ac:dyDescent="0.25">
      <c r="A31" s="1" t="s">
        <v>10</v>
      </c>
      <c r="B31" s="1">
        <v>1</v>
      </c>
      <c r="C31" s="2">
        <v>46114.485659722224</v>
      </c>
      <c r="D31" s="1" t="s">
        <v>11</v>
      </c>
      <c r="E31" s="1" t="s">
        <v>65</v>
      </c>
      <c r="F31" s="1" t="str">
        <f>"000063"</f>
        <v>000063</v>
      </c>
      <c r="G31" s="1" t="s">
        <v>66</v>
      </c>
      <c r="H31" s="1" t="s">
        <v>67</v>
      </c>
      <c r="I31" s="3">
        <v>46120</v>
      </c>
      <c r="J31" s="1" t="s">
        <v>15</v>
      </c>
    </row>
    <row r="32" spans="1:10" s="1" customFormat="1" ht="18.75" hidden="1" customHeight="1" x14ac:dyDescent="0.25">
      <c r="A32" s="1" t="s">
        <v>10</v>
      </c>
      <c r="B32" s="1">
        <v>2</v>
      </c>
      <c r="C32" s="2">
        <v>46114.487280092595</v>
      </c>
      <c r="D32" s="1" t="s">
        <v>11</v>
      </c>
      <c r="E32" s="1" t="s">
        <v>68</v>
      </c>
      <c r="F32" s="1" t="str">
        <f>"000063"</f>
        <v>000063</v>
      </c>
      <c r="G32" s="1" t="s">
        <v>69</v>
      </c>
      <c r="H32" s="1" t="s">
        <v>67</v>
      </c>
      <c r="I32" s="3">
        <v>46120</v>
      </c>
      <c r="J32" s="1" t="s">
        <v>15</v>
      </c>
    </row>
    <row r="33" spans="1:10" s="1" customFormat="1" ht="18.75" hidden="1" customHeight="1" x14ac:dyDescent="0.25">
      <c r="A33" s="1" t="s">
        <v>10</v>
      </c>
      <c r="B33" s="1">
        <v>2</v>
      </c>
      <c r="C33" s="2">
        <v>46114.488865740743</v>
      </c>
      <c r="D33" s="1" t="s">
        <v>11</v>
      </c>
      <c r="E33" s="1" t="s">
        <v>70</v>
      </c>
      <c r="F33" s="1" t="str">
        <f>"000063"</f>
        <v>000063</v>
      </c>
      <c r="G33" s="1" t="s">
        <v>69</v>
      </c>
      <c r="H33" s="1" t="s">
        <v>67</v>
      </c>
      <c r="I33" s="3">
        <v>46120</v>
      </c>
      <c r="J33" s="1" t="s">
        <v>15</v>
      </c>
    </row>
    <row r="34" spans="1:10" s="1" customFormat="1" ht="18.75" hidden="1" customHeight="1" x14ac:dyDescent="0.25">
      <c r="A34" s="1" t="s">
        <v>10</v>
      </c>
      <c r="B34" s="1">
        <v>4</v>
      </c>
      <c r="C34" s="2">
        <v>46114.490486111114</v>
      </c>
      <c r="D34" s="1" t="s">
        <v>11</v>
      </c>
      <c r="E34" s="1" t="s">
        <v>71</v>
      </c>
      <c r="F34" s="1" t="str">
        <f>"000063"</f>
        <v>000063</v>
      </c>
      <c r="G34" s="1" t="s">
        <v>69</v>
      </c>
      <c r="H34" s="1" t="s">
        <v>67</v>
      </c>
      <c r="I34" s="3">
        <v>46120</v>
      </c>
      <c r="J34" s="1" t="s">
        <v>15</v>
      </c>
    </row>
    <row r="35" spans="1:10" s="1" customFormat="1" ht="18.75" hidden="1" customHeight="1" x14ac:dyDescent="0.25">
      <c r="A35" s="1" t="s">
        <v>10</v>
      </c>
      <c r="B35" s="1">
        <v>1</v>
      </c>
      <c r="C35" s="2">
        <v>46114.496331018519</v>
      </c>
      <c r="D35" s="1" t="s">
        <v>11</v>
      </c>
      <c r="E35" s="1" t="s">
        <v>72</v>
      </c>
      <c r="F35" s="1" t="str">
        <f>"003167"</f>
        <v>003167</v>
      </c>
      <c r="G35" s="1" t="s">
        <v>17</v>
      </c>
      <c r="H35" s="1" t="s">
        <v>73</v>
      </c>
      <c r="I35" s="3">
        <v>46120</v>
      </c>
      <c r="J35" s="1" t="s">
        <v>15</v>
      </c>
    </row>
    <row r="36" spans="1:10" s="1" customFormat="1" ht="18.75" hidden="1" customHeight="1" x14ac:dyDescent="0.25">
      <c r="A36" s="1" t="s">
        <v>10</v>
      </c>
      <c r="B36" s="1">
        <v>1</v>
      </c>
      <c r="C36" s="2">
        <v>46114.49832175926</v>
      </c>
      <c r="D36" s="1" t="s">
        <v>11</v>
      </c>
      <c r="E36" s="1" t="s">
        <v>74</v>
      </c>
      <c r="F36" s="1" t="str">
        <f>"000721"</f>
        <v>000721</v>
      </c>
      <c r="G36" s="1" t="s">
        <v>75</v>
      </c>
      <c r="H36" s="1" t="s">
        <v>76</v>
      </c>
      <c r="I36" s="3">
        <v>46120</v>
      </c>
      <c r="J36" s="1" t="s">
        <v>15</v>
      </c>
    </row>
    <row r="37" spans="1:10" s="1" customFormat="1" ht="18.75" hidden="1" customHeight="1" x14ac:dyDescent="0.25">
      <c r="A37" s="1" t="s">
        <v>10</v>
      </c>
      <c r="B37" s="1">
        <v>5</v>
      </c>
      <c r="C37" s="2">
        <v>46114.499756944446</v>
      </c>
      <c r="D37" s="1" t="s">
        <v>11</v>
      </c>
      <c r="E37" s="1" t="s">
        <v>77</v>
      </c>
      <c r="F37" s="1" t="str">
        <f>"000208"</f>
        <v>000208</v>
      </c>
      <c r="G37" s="1" t="s">
        <v>78</v>
      </c>
      <c r="H37" s="1" t="s">
        <v>79</v>
      </c>
      <c r="I37" s="3">
        <v>46120</v>
      </c>
      <c r="J37" s="1" t="s">
        <v>15</v>
      </c>
    </row>
    <row r="38" spans="1:10" s="1" customFormat="1" ht="18.75" hidden="1" customHeight="1" x14ac:dyDescent="0.25">
      <c r="A38" s="1" t="s">
        <v>10</v>
      </c>
      <c r="B38" s="1">
        <v>1</v>
      </c>
      <c r="C38" s="2">
        <v>46114.522268518522</v>
      </c>
      <c r="D38" s="1" t="s">
        <v>11</v>
      </c>
      <c r="E38" s="1" t="s">
        <v>70</v>
      </c>
      <c r="F38" s="1" t="str">
        <f>"000063"</f>
        <v>000063</v>
      </c>
      <c r="G38" s="1" t="s">
        <v>69</v>
      </c>
      <c r="H38" s="1" t="s">
        <v>67</v>
      </c>
      <c r="I38" s="3">
        <v>46120</v>
      </c>
      <c r="J38" s="1" t="s">
        <v>15</v>
      </c>
    </row>
    <row r="39" spans="1:10" s="1" customFormat="1" ht="18.75" hidden="1" customHeight="1" x14ac:dyDescent="0.25">
      <c r="A39" s="1" t="s">
        <v>10</v>
      </c>
      <c r="B39" s="1">
        <v>1</v>
      </c>
      <c r="C39" s="2">
        <v>46114.522777777776</v>
      </c>
      <c r="D39" s="1" t="s">
        <v>11</v>
      </c>
      <c r="E39" s="1" t="s">
        <v>80</v>
      </c>
      <c r="F39" s="1" t="str">
        <f>"000063"</f>
        <v>000063</v>
      </c>
      <c r="G39" s="1" t="s">
        <v>69</v>
      </c>
      <c r="H39" s="1" t="s">
        <v>67</v>
      </c>
      <c r="I39" s="3">
        <v>46120</v>
      </c>
      <c r="J39" s="1" t="s">
        <v>15</v>
      </c>
    </row>
    <row r="40" spans="1:10" s="1" customFormat="1" ht="18.75" hidden="1" customHeight="1" x14ac:dyDescent="0.25">
      <c r="A40" s="1" t="s">
        <v>10</v>
      </c>
      <c r="B40" s="1">
        <v>1</v>
      </c>
      <c r="C40" s="2">
        <v>46118.399687500001</v>
      </c>
      <c r="D40" s="1" t="s">
        <v>11</v>
      </c>
      <c r="E40" s="1" t="s">
        <v>81</v>
      </c>
      <c r="F40" s="1" t="str">
        <f>"003909"</f>
        <v>003909</v>
      </c>
      <c r="G40" s="1" t="s">
        <v>17</v>
      </c>
      <c r="H40" s="1" t="s">
        <v>82</v>
      </c>
      <c r="I40" s="3">
        <v>46119</v>
      </c>
      <c r="J40" s="1" t="s">
        <v>23</v>
      </c>
    </row>
    <row r="41" spans="1:10" s="1" customFormat="1" ht="18.75" hidden="1" customHeight="1" x14ac:dyDescent="0.25">
      <c r="A41" s="1" t="s">
        <v>10</v>
      </c>
      <c r="B41" s="1">
        <v>3</v>
      </c>
      <c r="C41" s="2">
        <v>46118.466851851852</v>
      </c>
      <c r="D41" s="1" t="s">
        <v>11</v>
      </c>
      <c r="E41" s="1" t="s">
        <v>83</v>
      </c>
      <c r="F41" s="1" t="str">
        <f>"000156"</f>
        <v>000156</v>
      </c>
      <c r="G41" s="1" t="s">
        <v>17</v>
      </c>
      <c r="H41" s="1" t="s">
        <v>84</v>
      </c>
      <c r="I41" s="3">
        <v>46119</v>
      </c>
      <c r="J41" s="1" t="s">
        <v>23</v>
      </c>
    </row>
    <row r="42" spans="1:10" s="1" customFormat="1" ht="18.75" hidden="1" customHeight="1" x14ac:dyDescent="0.25">
      <c r="A42" s="1" t="s">
        <v>10</v>
      </c>
      <c r="B42" s="1">
        <v>3</v>
      </c>
      <c r="C42" s="2">
        <v>46118.480196759258</v>
      </c>
      <c r="D42" s="1" t="s">
        <v>11</v>
      </c>
      <c r="E42" s="1" t="s">
        <v>85</v>
      </c>
      <c r="F42" s="1" t="str">
        <f>"000156"</f>
        <v>000156</v>
      </c>
      <c r="G42" s="1" t="s">
        <v>17</v>
      </c>
      <c r="H42" s="1" t="s">
        <v>84</v>
      </c>
      <c r="I42" s="3">
        <v>46118</v>
      </c>
      <c r="J42" s="1" t="s">
        <v>23</v>
      </c>
    </row>
    <row r="43" spans="1:10" s="1" customFormat="1" ht="18.75" hidden="1" customHeight="1" x14ac:dyDescent="0.25">
      <c r="A43" s="1" t="s">
        <v>10</v>
      </c>
      <c r="B43" s="1">
        <v>4</v>
      </c>
      <c r="C43" s="2">
        <v>46118.571273148147</v>
      </c>
      <c r="D43" s="1" t="s">
        <v>11</v>
      </c>
      <c r="E43" s="1" t="s">
        <v>86</v>
      </c>
      <c r="F43" s="1" t="str">
        <f>"004290"</f>
        <v>004290</v>
      </c>
      <c r="G43" s="1" t="s">
        <v>17</v>
      </c>
      <c r="H43" s="1" t="s">
        <v>87</v>
      </c>
      <c r="I43" s="3">
        <v>46119</v>
      </c>
      <c r="J43" s="1" t="s">
        <v>23</v>
      </c>
    </row>
    <row r="44" spans="1:10" s="1" customFormat="1" ht="18.75" hidden="1" customHeight="1" x14ac:dyDescent="0.25">
      <c r="A44" s="1" t="s">
        <v>10</v>
      </c>
      <c r="B44" s="1">
        <v>2</v>
      </c>
      <c r="C44" s="2">
        <v>46120.357847222222</v>
      </c>
      <c r="D44" s="1" t="s">
        <v>11</v>
      </c>
      <c r="E44" s="1" t="s">
        <v>88</v>
      </c>
      <c r="F44" s="1" t="str">
        <f>"10032"</f>
        <v>10032</v>
      </c>
      <c r="G44" s="1" t="s">
        <v>89</v>
      </c>
      <c r="H44" s="1" t="s">
        <v>90</v>
      </c>
      <c r="I44" s="3">
        <v>46120</v>
      </c>
      <c r="J44" s="1" t="s">
        <v>23</v>
      </c>
    </row>
    <row r="45" spans="1:10" s="1" customFormat="1" ht="18.75" hidden="1" customHeight="1" x14ac:dyDescent="0.25">
      <c r="A45" s="1" t="s">
        <v>10</v>
      </c>
      <c r="B45" s="1">
        <v>2</v>
      </c>
      <c r="C45" s="2">
        <v>46120.360231481478</v>
      </c>
      <c r="D45" s="1" t="s">
        <v>11</v>
      </c>
      <c r="E45" s="1" t="s">
        <v>91</v>
      </c>
      <c r="F45" s="1" t="str">
        <f>"11341"</f>
        <v>11341</v>
      </c>
      <c r="G45" s="1" t="s">
        <v>17</v>
      </c>
      <c r="H45" s="1" t="s">
        <v>92</v>
      </c>
      <c r="I45" s="3">
        <v>46120</v>
      </c>
      <c r="J45" s="1" t="s">
        <v>23</v>
      </c>
    </row>
    <row r="46" spans="1:10" s="1" customFormat="1" ht="18.75" hidden="1" customHeight="1" x14ac:dyDescent="0.25">
      <c r="A46" s="1" t="s">
        <v>10</v>
      </c>
      <c r="B46" s="1">
        <v>1</v>
      </c>
      <c r="C46" s="2">
        <v>46120.430428240739</v>
      </c>
      <c r="D46" s="1" t="s">
        <v>11</v>
      </c>
      <c r="E46" s="1" t="s">
        <v>93</v>
      </c>
      <c r="F46" s="1" t="str">
        <f>"000027"</f>
        <v>000027</v>
      </c>
      <c r="G46" s="1" t="s">
        <v>94</v>
      </c>
      <c r="H46" s="1" t="s">
        <v>95</v>
      </c>
      <c r="I46" s="3">
        <v>46120</v>
      </c>
      <c r="J46" s="1" t="s">
        <v>15</v>
      </c>
    </row>
    <row r="47" spans="1:10" s="1" customFormat="1" ht="18.75" hidden="1" customHeight="1" x14ac:dyDescent="0.25">
      <c r="A47" s="1" t="s">
        <v>10</v>
      </c>
      <c r="B47" s="1">
        <v>3</v>
      </c>
      <c r="C47" s="2">
        <v>46120.434189814812</v>
      </c>
      <c r="D47" s="1" t="s">
        <v>11</v>
      </c>
      <c r="E47" s="1" t="s">
        <v>96</v>
      </c>
      <c r="F47" s="1" t="str">
        <f>"001586"</f>
        <v>001586</v>
      </c>
      <c r="G47" s="1" t="s">
        <v>17</v>
      </c>
      <c r="H47" s="1" t="s">
        <v>97</v>
      </c>
      <c r="I47" s="3">
        <v>46120</v>
      </c>
      <c r="J47" s="1" t="s">
        <v>15</v>
      </c>
    </row>
    <row r="48" spans="1:10" s="1" customFormat="1" ht="18.75" hidden="1" customHeight="1" x14ac:dyDescent="0.25">
      <c r="A48" s="1" t="s">
        <v>10</v>
      </c>
      <c r="B48" s="1">
        <v>2</v>
      </c>
      <c r="C48" s="2">
        <v>46120.436331018522</v>
      </c>
      <c r="D48" s="1" t="s">
        <v>11</v>
      </c>
      <c r="E48" s="1" t="s">
        <v>98</v>
      </c>
      <c r="F48" s="1" t="str">
        <f>"11296"</f>
        <v>11296</v>
      </c>
      <c r="G48" s="1" t="s">
        <v>17</v>
      </c>
      <c r="H48" s="1" t="s">
        <v>99</v>
      </c>
      <c r="I48" s="3">
        <v>46120</v>
      </c>
      <c r="J48" s="1" t="s">
        <v>23</v>
      </c>
    </row>
    <row r="49" spans="1:10" s="1" customFormat="1" ht="18.75" hidden="1" customHeight="1" x14ac:dyDescent="0.25">
      <c r="A49" s="1" t="s">
        <v>10</v>
      </c>
      <c r="B49" s="1">
        <v>1</v>
      </c>
      <c r="C49" s="2">
        <v>46120.440081018518</v>
      </c>
      <c r="D49" s="1" t="s">
        <v>11</v>
      </c>
      <c r="E49" s="1" t="s">
        <v>100</v>
      </c>
      <c r="F49" s="1" t="str">
        <f>"11424"</f>
        <v>11424</v>
      </c>
      <c r="G49" s="1" t="s">
        <v>17</v>
      </c>
      <c r="H49" s="1" t="s">
        <v>101</v>
      </c>
      <c r="I49" s="3">
        <v>46120</v>
      </c>
      <c r="J49" s="1" t="s">
        <v>23</v>
      </c>
    </row>
    <row r="50" spans="1:10" s="1" customFormat="1" ht="18.75" hidden="1" customHeight="1" x14ac:dyDescent="0.25">
      <c r="A50" s="1" t="s">
        <v>10</v>
      </c>
      <c r="B50" s="1">
        <v>2</v>
      </c>
      <c r="C50" s="2">
        <v>46120.442546296297</v>
      </c>
      <c r="D50" s="1" t="s">
        <v>11</v>
      </c>
      <c r="E50" s="1" t="s">
        <v>102</v>
      </c>
      <c r="F50" s="1" t="str">
        <f>"004477"</f>
        <v>004477</v>
      </c>
      <c r="G50" s="1" t="s">
        <v>17</v>
      </c>
      <c r="H50" s="1" t="s">
        <v>103</v>
      </c>
      <c r="I50" s="3">
        <v>46120</v>
      </c>
      <c r="J50" s="1" t="s">
        <v>23</v>
      </c>
    </row>
    <row r="51" spans="1:10" s="1" customFormat="1" ht="18.75" hidden="1" customHeight="1" x14ac:dyDescent="0.25">
      <c r="A51" s="1" t="s">
        <v>10</v>
      </c>
      <c r="B51" s="1">
        <v>1</v>
      </c>
      <c r="C51" s="2">
        <v>46120.444745370369</v>
      </c>
      <c r="D51" s="1" t="s">
        <v>11</v>
      </c>
      <c r="E51" s="1" t="s">
        <v>104</v>
      </c>
      <c r="F51" s="1" t="str">
        <f>"000027"</f>
        <v>000027</v>
      </c>
      <c r="G51" s="1" t="s">
        <v>17</v>
      </c>
      <c r="H51" s="1" t="s">
        <v>95</v>
      </c>
      <c r="I51" s="3">
        <v>46120</v>
      </c>
      <c r="J51" s="1" t="s">
        <v>15</v>
      </c>
    </row>
    <row r="52" spans="1:10" s="1" customFormat="1" ht="18.75" hidden="1" customHeight="1" x14ac:dyDescent="0.25">
      <c r="A52" s="1" t="s">
        <v>10</v>
      </c>
      <c r="B52" s="1">
        <v>1</v>
      </c>
      <c r="C52" s="2">
        <v>46120.446226851855</v>
      </c>
      <c r="D52" s="1" t="s">
        <v>11</v>
      </c>
      <c r="E52" s="1" t="s">
        <v>105</v>
      </c>
      <c r="F52" s="1" t="str">
        <f>"11406"</f>
        <v>11406</v>
      </c>
      <c r="G52" s="1" t="s">
        <v>17</v>
      </c>
      <c r="H52" s="1" t="s">
        <v>106</v>
      </c>
      <c r="I52" s="3">
        <v>46120</v>
      </c>
      <c r="J52" s="1" t="s">
        <v>23</v>
      </c>
    </row>
    <row r="53" spans="1:10" s="1" customFormat="1" ht="18.75" hidden="1" customHeight="1" x14ac:dyDescent="0.25">
      <c r="A53" s="1" t="s">
        <v>10</v>
      </c>
      <c r="B53" s="1">
        <v>6</v>
      </c>
      <c r="C53" s="2">
        <v>46120.670856481483</v>
      </c>
      <c r="D53" s="1" t="s">
        <v>11</v>
      </c>
      <c r="E53" s="1" t="s">
        <v>107</v>
      </c>
      <c r="F53" s="1" t="str">
        <f>"000712"</f>
        <v>000712</v>
      </c>
      <c r="G53" s="1" t="s">
        <v>17</v>
      </c>
      <c r="H53" s="1" t="s">
        <v>108</v>
      </c>
      <c r="I53" s="3">
        <v>46120</v>
      </c>
      <c r="J53" s="1" t="s">
        <v>15</v>
      </c>
    </row>
    <row r="54" spans="1:10" s="1" customFormat="1" ht="18.75" hidden="1" customHeight="1" x14ac:dyDescent="0.25">
      <c r="A54" s="1" t="s">
        <v>10</v>
      </c>
      <c r="B54" s="1">
        <v>15</v>
      </c>
      <c r="C54" s="2">
        <v>46121.578738425924</v>
      </c>
      <c r="D54" s="1" t="s">
        <v>11</v>
      </c>
      <c r="E54" s="1" t="s">
        <v>109</v>
      </c>
      <c r="F54" s="1" t="str">
        <f>"002333"</f>
        <v>002333</v>
      </c>
      <c r="G54" s="1" t="s">
        <v>110</v>
      </c>
      <c r="H54" s="1" t="s">
        <v>111</v>
      </c>
      <c r="I54" s="3">
        <v>46127</v>
      </c>
      <c r="J54" s="1" t="s">
        <v>23</v>
      </c>
    </row>
    <row r="55" spans="1:10" s="1" customFormat="1" ht="18.75" hidden="1" customHeight="1" x14ac:dyDescent="0.25">
      <c r="A55" s="1" t="s">
        <v>10</v>
      </c>
      <c r="B55" s="1">
        <v>3</v>
      </c>
      <c r="C55" s="2">
        <v>46126.476377314815</v>
      </c>
      <c r="D55" s="1" t="s">
        <v>11</v>
      </c>
      <c r="E55" s="1" t="s">
        <v>112</v>
      </c>
      <c r="F55" s="1" t="str">
        <f>"000087"</f>
        <v>000087</v>
      </c>
      <c r="G55" s="1" t="s">
        <v>55</v>
      </c>
      <c r="H55" s="1" t="s">
        <v>113</v>
      </c>
      <c r="I55" s="3">
        <v>46126</v>
      </c>
      <c r="J55" s="1" t="s">
        <v>15</v>
      </c>
    </row>
    <row r="56" spans="1:10" s="1" customFormat="1" ht="18.75" hidden="1" customHeight="1" x14ac:dyDescent="0.25">
      <c r="A56" s="1" t="s">
        <v>10</v>
      </c>
      <c r="B56" s="1">
        <v>6</v>
      </c>
      <c r="C56" s="2">
        <v>46126.48159722222</v>
      </c>
      <c r="D56" s="1" t="s">
        <v>11</v>
      </c>
      <c r="E56" s="1" t="s">
        <v>114</v>
      </c>
      <c r="F56" s="1" t="str">
        <f>"005129"</f>
        <v>005129</v>
      </c>
      <c r="G56" s="1" t="s">
        <v>115</v>
      </c>
      <c r="H56" s="1" t="s">
        <v>116</v>
      </c>
      <c r="I56" s="3">
        <v>46126</v>
      </c>
      <c r="J56" s="1" t="s">
        <v>15</v>
      </c>
    </row>
    <row r="57" spans="1:10" s="1" customFormat="1" ht="18.75" hidden="1" customHeight="1" x14ac:dyDescent="0.25">
      <c r="A57" s="1" t="s">
        <v>10</v>
      </c>
      <c r="B57" s="1">
        <v>1</v>
      </c>
      <c r="C57" s="2">
        <v>46126.484826388885</v>
      </c>
      <c r="D57" s="1" t="s">
        <v>11</v>
      </c>
      <c r="E57" s="1" t="s">
        <v>117</v>
      </c>
      <c r="F57" s="1" t="str">
        <f>"003167"</f>
        <v>003167</v>
      </c>
      <c r="G57" s="1" t="s">
        <v>17</v>
      </c>
      <c r="H57" s="1" t="s">
        <v>73</v>
      </c>
      <c r="I57" s="3">
        <v>46126</v>
      </c>
      <c r="J57" s="1" t="s">
        <v>15</v>
      </c>
    </row>
    <row r="58" spans="1:10" s="1" customFormat="1" ht="18.75" hidden="1" customHeight="1" x14ac:dyDescent="0.25">
      <c r="A58" s="1" t="s">
        <v>10</v>
      </c>
      <c r="B58" s="1">
        <v>1</v>
      </c>
      <c r="C58" s="2">
        <v>46126.48678240741</v>
      </c>
      <c r="D58" s="1" t="s">
        <v>11</v>
      </c>
      <c r="E58" s="1" t="s">
        <v>118</v>
      </c>
      <c r="F58" s="1" t="str">
        <f>"003794"</f>
        <v>003794</v>
      </c>
      <c r="G58" s="1" t="s">
        <v>55</v>
      </c>
      <c r="H58" s="1" t="s">
        <v>119</v>
      </c>
      <c r="I58" s="3">
        <v>46126</v>
      </c>
      <c r="J58" s="1" t="s">
        <v>15</v>
      </c>
    </row>
    <row r="59" spans="1:10" s="1" customFormat="1" ht="18.75" hidden="1" customHeight="1" x14ac:dyDescent="0.25">
      <c r="A59" s="1" t="s">
        <v>10</v>
      </c>
      <c r="B59" s="1">
        <v>1</v>
      </c>
      <c r="C59" s="2">
        <v>46126.612812500003</v>
      </c>
      <c r="D59" s="1" t="s">
        <v>11</v>
      </c>
      <c r="E59" s="1" t="s">
        <v>120</v>
      </c>
      <c r="F59" s="1" t="str">
        <f>"001708"</f>
        <v>001708</v>
      </c>
      <c r="G59" s="1" t="s">
        <v>17</v>
      </c>
      <c r="H59" s="1" t="s">
        <v>56</v>
      </c>
      <c r="I59" s="3">
        <v>46126</v>
      </c>
      <c r="J59" s="1" t="s">
        <v>15</v>
      </c>
    </row>
    <row r="60" spans="1:10" s="1" customFormat="1" ht="18.75" hidden="1" customHeight="1" x14ac:dyDescent="0.25">
      <c r="A60" s="1" t="s">
        <v>10</v>
      </c>
      <c r="B60" s="1">
        <v>9</v>
      </c>
      <c r="C60" s="2">
        <v>46126.640231481484</v>
      </c>
      <c r="D60" s="1" t="s">
        <v>11</v>
      </c>
      <c r="E60" s="1" t="s">
        <v>121</v>
      </c>
      <c r="F60" s="1" t="str">
        <f>"000180"</f>
        <v>000180</v>
      </c>
      <c r="G60" s="1" t="s">
        <v>122</v>
      </c>
      <c r="H60" s="1" t="s">
        <v>123</v>
      </c>
      <c r="J60" s="1" t="s">
        <v>15</v>
      </c>
    </row>
    <row r="61" spans="1:10" s="1" customFormat="1" ht="18.75" hidden="1" customHeight="1" x14ac:dyDescent="0.25">
      <c r="A61" s="1" t="s">
        <v>10</v>
      </c>
      <c r="B61" s="1">
        <v>1</v>
      </c>
      <c r="C61" s="2">
        <v>46127.544560185182</v>
      </c>
      <c r="D61" s="1" t="s">
        <v>11</v>
      </c>
      <c r="E61" s="1" t="s">
        <v>124</v>
      </c>
      <c r="F61" s="1" t="str">
        <f>"001308"</f>
        <v>001308</v>
      </c>
      <c r="G61" s="1" t="s">
        <v>125</v>
      </c>
      <c r="H61" s="1" t="s">
        <v>126</v>
      </c>
      <c r="I61" s="3">
        <v>46127</v>
      </c>
      <c r="J61" s="1" t="s">
        <v>15</v>
      </c>
    </row>
    <row r="62" spans="1:10" s="1" customFormat="1" ht="18.75" hidden="1" customHeight="1" x14ac:dyDescent="0.25">
      <c r="A62" s="1" t="s">
        <v>10</v>
      </c>
      <c r="B62" s="1">
        <v>2</v>
      </c>
      <c r="C62" s="2">
        <v>46127.585833333331</v>
      </c>
      <c r="D62" s="1" t="s">
        <v>11</v>
      </c>
      <c r="E62" s="1" t="s">
        <v>127</v>
      </c>
      <c r="F62" s="1" t="str">
        <f>"003751"</f>
        <v>003751</v>
      </c>
      <c r="G62" s="1" t="s">
        <v>17</v>
      </c>
      <c r="H62" s="1" t="s">
        <v>128</v>
      </c>
      <c r="I62" s="3">
        <v>46127</v>
      </c>
      <c r="J62" s="1" t="s">
        <v>23</v>
      </c>
    </row>
    <row r="63" spans="1:10" s="1" customFormat="1" ht="18.75" hidden="1" customHeight="1" x14ac:dyDescent="0.25">
      <c r="A63" s="1" t="s">
        <v>10</v>
      </c>
      <c r="B63" s="1">
        <v>6</v>
      </c>
      <c r="C63" s="2">
        <v>46127.588842592595</v>
      </c>
      <c r="D63" s="1" t="s">
        <v>11</v>
      </c>
      <c r="E63" s="1" t="s">
        <v>129</v>
      </c>
      <c r="F63" s="1" t="str">
        <f>"003073"</f>
        <v>003073</v>
      </c>
      <c r="G63" s="1" t="s">
        <v>130</v>
      </c>
      <c r="H63" s="1" t="s">
        <v>131</v>
      </c>
      <c r="I63" s="3">
        <v>46132</v>
      </c>
      <c r="J63" s="1" t="s">
        <v>23</v>
      </c>
    </row>
    <row r="64" spans="1:10" s="1" customFormat="1" ht="18.75" hidden="1" customHeight="1" x14ac:dyDescent="0.25">
      <c r="A64" s="1" t="s">
        <v>10</v>
      </c>
      <c r="B64" s="1">
        <v>3</v>
      </c>
      <c r="C64" s="2">
        <v>46127.591898148145</v>
      </c>
      <c r="D64" s="1" t="s">
        <v>11</v>
      </c>
      <c r="E64" s="1" t="s">
        <v>132</v>
      </c>
      <c r="F64" s="1" t="str">
        <f>"001746"</f>
        <v>001746</v>
      </c>
      <c r="G64" s="1" t="s">
        <v>17</v>
      </c>
      <c r="H64" s="1" t="s">
        <v>133</v>
      </c>
      <c r="I64" s="3">
        <v>46127</v>
      </c>
      <c r="J64" s="1" t="s">
        <v>23</v>
      </c>
    </row>
    <row r="65" spans="1:10" s="1" customFormat="1" ht="18.75" hidden="1" customHeight="1" x14ac:dyDescent="0.25">
      <c r="A65" s="1" t="s">
        <v>10</v>
      </c>
      <c r="B65" s="1">
        <v>3</v>
      </c>
      <c r="C65" s="2">
        <v>46127.594768518517</v>
      </c>
      <c r="D65" s="1" t="s">
        <v>11</v>
      </c>
      <c r="E65" s="1" t="s">
        <v>134</v>
      </c>
      <c r="F65" s="1" t="str">
        <f>"003073"</f>
        <v>003073</v>
      </c>
      <c r="G65" s="1" t="s">
        <v>17</v>
      </c>
      <c r="H65" s="1" t="s">
        <v>135</v>
      </c>
      <c r="I65" s="3">
        <v>46132</v>
      </c>
      <c r="J65" s="1" t="s">
        <v>23</v>
      </c>
    </row>
    <row r="66" spans="1:10" s="1" customFormat="1" ht="18.75" hidden="1" customHeight="1" x14ac:dyDescent="0.25">
      <c r="A66" s="1" t="s">
        <v>10</v>
      </c>
      <c r="B66" s="1">
        <v>5</v>
      </c>
      <c r="C66" s="2">
        <v>46127.596354166664</v>
      </c>
      <c r="D66" s="1" t="s">
        <v>11</v>
      </c>
      <c r="E66" s="1" t="s">
        <v>136</v>
      </c>
      <c r="F66" s="1" t="str">
        <f>"003073"</f>
        <v>003073</v>
      </c>
      <c r="G66" s="1" t="s">
        <v>130</v>
      </c>
      <c r="H66" s="1" t="s">
        <v>131</v>
      </c>
      <c r="I66" s="3">
        <v>46132</v>
      </c>
      <c r="J66" s="1" t="s">
        <v>23</v>
      </c>
    </row>
    <row r="67" spans="1:10" s="1" customFormat="1" ht="18.75" hidden="1" customHeight="1" x14ac:dyDescent="0.25">
      <c r="A67" s="1" t="s">
        <v>10</v>
      </c>
      <c r="B67" s="1">
        <v>3</v>
      </c>
      <c r="C67" s="2">
        <v>46127.59820601852</v>
      </c>
      <c r="D67" s="1" t="s">
        <v>11</v>
      </c>
      <c r="E67" s="1" t="s">
        <v>137</v>
      </c>
      <c r="F67" s="1" t="str">
        <f>"10932"</f>
        <v>10932</v>
      </c>
      <c r="G67" s="1" t="s">
        <v>17</v>
      </c>
      <c r="H67" s="1" t="s">
        <v>138</v>
      </c>
      <c r="I67" s="3">
        <v>46132</v>
      </c>
      <c r="J67" s="1" t="s">
        <v>23</v>
      </c>
    </row>
    <row r="68" spans="1:10" s="1" customFormat="1" ht="18.75" hidden="1" customHeight="1" x14ac:dyDescent="0.25">
      <c r="A68" s="1" t="s">
        <v>10</v>
      </c>
      <c r="B68" s="1">
        <v>1</v>
      </c>
      <c r="C68" s="2">
        <v>46128.558032407411</v>
      </c>
      <c r="D68" s="1" t="s">
        <v>11</v>
      </c>
      <c r="E68" s="1" t="s">
        <v>139</v>
      </c>
      <c r="F68" s="1" t="str">
        <f>"002333"</f>
        <v>002333</v>
      </c>
      <c r="G68" s="1" t="s">
        <v>17</v>
      </c>
      <c r="H68" s="1" t="s">
        <v>111</v>
      </c>
      <c r="I68" s="3">
        <v>46132</v>
      </c>
      <c r="J68" s="1" t="s">
        <v>23</v>
      </c>
    </row>
    <row r="69" spans="1:10" s="1" customFormat="1" ht="18.75" hidden="1" customHeight="1" x14ac:dyDescent="0.25">
      <c r="A69" s="1" t="s">
        <v>10</v>
      </c>
      <c r="B69" s="1">
        <v>3</v>
      </c>
      <c r="C69" s="2">
        <v>46128.561018518521</v>
      </c>
      <c r="D69" s="1" t="s">
        <v>11</v>
      </c>
      <c r="E69" s="1" t="s">
        <v>140</v>
      </c>
      <c r="F69" s="1" t="str">
        <f>"10485"</f>
        <v>10485</v>
      </c>
      <c r="G69" s="1" t="s">
        <v>17</v>
      </c>
      <c r="H69" s="1" t="s">
        <v>141</v>
      </c>
      <c r="I69" s="3">
        <v>46132</v>
      </c>
      <c r="J69" s="1" t="s">
        <v>23</v>
      </c>
    </row>
    <row r="70" spans="1:10" s="1" customFormat="1" ht="18.75" hidden="1" customHeight="1" x14ac:dyDescent="0.25">
      <c r="A70" s="1" t="s">
        <v>10</v>
      </c>
      <c r="B70" s="1">
        <v>2</v>
      </c>
      <c r="C70" s="2">
        <v>46128.564768518518</v>
      </c>
      <c r="D70" s="1" t="s">
        <v>11</v>
      </c>
      <c r="E70" s="1" t="s">
        <v>142</v>
      </c>
      <c r="F70" s="1" t="str">
        <f>"004624"</f>
        <v>004624</v>
      </c>
      <c r="G70" s="1" t="s">
        <v>17</v>
      </c>
      <c r="H70" s="1" t="s">
        <v>143</v>
      </c>
      <c r="I70" s="3">
        <v>46132</v>
      </c>
      <c r="J70" s="1" t="s">
        <v>23</v>
      </c>
    </row>
    <row r="71" spans="1:10" s="1" customFormat="1" ht="18.75" hidden="1" customHeight="1" x14ac:dyDescent="0.25">
      <c r="A71" s="1" t="s">
        <v>10</v>
      </c>
      <c r="B71" s="1">
        <v>4</v>
      </c>
      <c r="C71" s="2">
        <v>46128.581793981481</v>
      </c>
      <c r="D71" s="1" t="s">
        <v>11</v>
      </c>
      <c r="E71" s="1" t="s">
        <v>144</v>
      </c>
      <c r="F71" s="1" t="str">
        <f>"10442"</f>
        <v>10442</v>
      </c>
      <c r="G71" s="1" t="s">
        <v>17</v>
      </c>
      <c r="H71" s="1" t="s">
        <v>145</v>
      </c>
      <c r="I71" s="3">
        <v>46132</v>
      </c>
      <c r="J71" s="1" t="s">
        <v>23</v>
      </c>
    </row>
    <row r="72" spans="1:10" s="1" customFormat="1" ht="18.75" hidden="1" customHeight="1" x14ac:dyDescent="0.25">
      <c r="A72" s="1" t="s">
        <v>10</v>
      </c>
      <c r="B72" s="1">
        <v>3</v>
      </c>
      <c r="C72" s="2">
        <v>46128.583784722221</v>
      </c>
      <c r="D72" s="1" t="s">
        <v>11</v>
      </c>
      <c r="E72" s="1" t="s">
        <v>146</v>
      </c>
      <c r="F72" s="1" t="str">
        <f>"10442"</f>
        <v>10442</v>
      </c>
      <c r="G72" s="1" t="s">
        <v>17</v>
      </c>
      <c r="H72" s="1" t="s">
        <v>145</v>
      </c>
      <c r="I72" s="3">
        <v>46132</v>
      </c>
      <c r="J72" s="1" t="s">
        <v>23</v>
      </c>
    </row>
    <row r="73" spans="1:10" s="1" customFormat="1" ht="18.75" hidden="1" customHeight="1" x14ac:dyDescent="0.25">
      <c r="A73" s="1" t="s">
        <v>10</v>
      </c>
      <c r="B73" s="1">
        <v>4</v>
      </c>
      <c r="C73" s="2">
        <v>46128.585914351854</v>
      </c>
      <c r="D73" s="1" t="s">
        <v>11</v>
      </c>
      <c r="E73" s="1" t="s">
        <v>147</v>
      </c>
      <c r="F73" s="1" t="str">
        <f>"10442"</f>
        <v>10442</v>
      </c>
      <c r="G73" s="1" t="s">
        <v>17</v>
      </c>
      <c r="H73" s="1" t="s">
        <v>145</v>
      </c>
      <c r="I73" s="3">
        <v>46132</v>
      </c>
      <c r="J73" s="1" t="s">
        <v>23</v>
      </c>
    </row>
    <row r="74" spans="1:10" s="1" customFormat="1" ht="18.75" hidden="1" customHeight="1" x14ac:dyDescent="0.25">
      <c r="A74" s="1" t="s">
        <v>10</v>
      </c>
      <c r="B74" s="1">
        <v>1</v>
      </c>
      <c r="C74" s="2">
        <v>46128.59003472222</v>
      </c>
      <c r="D74" s="1" t="s">
        <v>11</v>
      </c>
      <c r="E74" s="1" t="str">
        <f>"300021259207650"</f>
        <v>300021259207650</v>
      </c>
      <c r="F74" s="1" t="str">
        <f>"004828"</f>
        <v>004828</v>
      </c>
      <c r="G74" s="1" t="s">
        <v>17</v>
      </c>
      <c r="H74" s="1" t="s">
        <v>148</v>
      </c>
      <c r="I74" s="3">
        <v>46132</v>
      </c>
      <c r="J74" s="1" t="s">
        <v>23</v>
      </c>
    </row>
    <row r="75" spans="1:10" s="1" customFormat="1" ht="18.75" hidden="1" customHeight="1" x14ac:dyDescent="0.25">
      <c r="A75" s="1" t="s">
        <v>10</v>
      </c>
      <c r="B75" s="1">
        <v>9</v>
      </c>
      <c r="C75" s="2">
        <v>46128.591631944444</v>
      </c>
      <c r="D75" s="1" t="s">
        <v>11</v>
      </c>
      <c r="E75" s="1" t="s">
        <v>149</v>
      </c>
      <c r="F75" s="1" t="str">
        <f>"004828"</f>
        <v>004828</v>
      </c>
      <c r="G75" s="1" t="s">
        <v>17</v>
      </c>
      <c r="H75" s="1" t="s">
        <v>148</v>
      </c>
      <c r="I75" s="3">
        <v>46132</v>
      </c>
      <c r="J75" s="1" t="s">
        <v>23</v>
      </c>
    </row>
    <row r="76" spans="1:10" s="1" customFormat="1" ht="18.75" hidden="1" customHeight="1" x14ac:dyDescent="0.25">
      <c r="A76" s="1" t="s">
        <v>10</v>
      </c>
      <c r="B76" s="1">
        <v>14</v>
      </c>
      <c r="C76" s="2">
        <v>46128.596828703703</v>
      </c>
      <c r="D76" s="1" t="s">
        <v>11</v>
      </c>
      <c r="E76" s="1" t="s">
        <v>150</v>
      </c>
      <c r="F76" s="1" t="str">
        <f>"004828"</f>
        <v>004828</v>
      </c>
      <c r="G76" s="1" t="s">
        <v>17</v>
      </c>
      <c r="H76" s="1" t="s">
        <v>148</v>
      </c>
      <c r="I76" s="3">
        <v>46132</v>
      </c>
      <c r="J76" s="1" t="s">
        <v>23</v>
      </c>
    </row>
    <row r="77" spans="1:10" s="1" customFormat="1" ht="18.75" hidden="1" customHeight="1" x14ac:dyDescent="0.25">
      <c r="A77" s="1" t="s">
        <v>10</v>
      </c>
      <c r="B77" s="1">
        <v>1</v>
      </c>
      <c r="C77" s="2">
        <v>46133.49355324074</v>
      </c>
      <c r="D77" s="1" t="s">
        <v>11</v>
      </c>
      <c r="E77" s="1" t="s">
        <v>151</v>
      </c>
      <c r="F77" s="1" t="str">
        <f>"002499"</f>
        <v>002499</v>
      </c>
      <c r="G77" s="1" t="s">
        <v>17</v>
      </c>
      <c r="H77" s="1" t="s">
        <v>152</v>
      </c>
      <c r="I77" s="3">
        <v>46133</v>
      </c>
      <c r="J77" s="1" t="s">
        <v>15</v>
      </c>
    </row>
    <row r="78" spans="1:10" s="1" customFormat="1" ht="18.75" hidden="1" customHeight="1" x14ac:dyDescent="0.25">
      <c r="A78" s="1" t="s">
        <v>10</v>
      </c>
      <c r="B78" s="1">
        <v>1</v>
      </c>
      <c r="C78" s="2">
        <v>46133.494641203702</v>
      </c>
      <c r="D78" s="1" t="s">
        <v>11</v>
      </c>
      <c r="E78" s="1" t="s">
        <v>153</v>
      </c>
      <c r="F78" s="1" t="str">
        <f>"002428"</f>
        <v>002428</v>
      </c>
      <c r="G78" s="1" t="s">
        <v>17</v>
      </c>
      <c r="H78" s="1" t="s">
        <v>154</v>
      </c>
      <c r="I78" s="3">
        <v>46133</v>
      </c>
      <c r="J78" s="1" t="s">
        <v>15</v>
      </c>
    </row>
    <row r="79" spans="1:10" s="1" customFormat="1" ht="18.75" hidden="1" customHeight="1" x14ac:dyDescent="0.25">
      <c r="A79" s="1" t="s">
        <v>10</v>
      </c>
      <c r="B79" s="1">
        <v>1</v>
      </c>
      <c r="C79" s="2">
        <v>46133.495787037034</v>
      </c>
      <c r="D79" s="1" t="s">
        <v>11</v>
      </c>
      <c r="E79" s="1" t="s">
        <v>155</v>
      </c>
      <c r="F79" s="1" t="str">
        <f>"000033"</f>
        <v>000033</v>
      </c>
      <c r="G79" s="1" t="s">
        <v>156</v>
      </c>
      <c r="H79" s="1" t="s">
        <v>157</v>
      </c>
      <c r="I79" s="3">
        <v>46133</v>
      </c>
      <c r="J79" s="1" t="s">
        <v>15</v>
      </c>
    </row>
    <row r="80" spans="1:10" s="1" customFormat="1" ht="18.75" hidden="1" customHeight="1" x14ac:dyDescent="0.25">
      <c r="A80" s="1" t="s">
        <v>10</v>
      </c>
      <c r="B80" s="1">
        <v>3</v>
      </c>
      <c r="C80" s="2">
        <v>46133.527627314812</v>
      </c>
      <c r="D80" s="1" t="s">
        <v>11</v>
      </c>
      <c r="E80" s="1" t="s">
        <v>63</v>
      </c>
      <c r="F80" s="1" t="str">
        <f>"000137"</f>
        <v>000137</v>
      </c>
      <c r="G80" s="1" t="s">
        <v>62</v>
      </c>
      <c r="I80" s="3">
        <v>46133</v>
      </c>
      <c r="J80" s="1" t="s">
        <v>15</v>
      </c>
    </row>
    <row r="81" spans="1:10" s="1" customFormat="1" ht="18.75" customHeight="1" x14ac:dyDescent="0.25">
      <c r="A81" s="1" t="s">
        <v>10</v>
      </c>
      <c r="B81" s="1">
        <v>2</v>
      </c>
      <c r="C81" s="2">
        <v>46135.707025462965</v>
      </c>
      <c r="D81" s="1" t="s">
        <v>11</v>
      </c>
      <c r="E81" s="1" t="s">
        <v>158</v>
      </c>
      <c r="F81" s="1" t="str">
        <f>"000754"</f>
        <v>000754</v>
      </c>
      <c r="G81" s="1" t="s">
        <v>159</v>
      </c>
      <c r="H81" s="1" t="s">
        <v>160</v>
      </c>
      <c r="I81" s="3">
        <v>46135</v>
      </c>
      <c r="J81" s="1" t="s">
        <v>15</v>
      </c>
    </row>
    <row r="82" spans="1:10" s="1" customFormat="1" ht="18.75" customHeight="1" x14ac:dyDescent="0.25">
      <c r="A82" s="1" t="s">
        <v>10</v>
      </c>
      <c r="B82" s="1">
        <v>2</v>
      </c>
      <c r="C82" s="2">
        <v>46135.712800925925</v>
      </c>
      <c r="D82" s="1" t="s">
        <v>11</v>
      </c>
      <c r="E82" s="1" t="s">
        <v>161</v>
      </c>
      <c r="F82" s="1" t="str">
        <f>"000192"</f>
        <v>000192</v>
      </c>
      <c r="G82" s="1" t="s">
        <v>162</v>
      </c>
      <c r="H82" s="1" t="s">
        <v>163</v>
      </c>
      <c r="I82" s="3">
        <v>46135</v>
      </c>
      <c r="J82" s="1" t="s">
        <v>15</v>
      </c>
    </row>
    <row r="83" spans="1:10" s="1" customFormat="1" ht="18.75" customHeight="1" x14ac:dyDescent="0.25">
      <c r="A83" s="1" t="s">
        <v>10</v>
      </c>
      <c r="B83" s="1">
        <v>1</v>
      </c>
      <c r="C83" s="2">
        <v>46136.641331018516</v>
      </c>
      <c r="D83" s="1" t="s">
        <v>11</v>
      </c>
      <c r="E83" s="1" t="str">
        <f>"300020977108968"</f>
        <v>300020977108968</v>
      </c>
      <c r="F83" s="1" t="str">
        <f>"000189"</f>
        <v>000189</v>
      </c>
      <c r="G83" s="1" t="s">
        <v>17</v>
      </c>
      <c r="H83" s="1" t="s">
        <v>164</v>
      </c>
      <c r="I83" s="3">
        <v>46141</v>
      </c>
      <c r="J83" s="1" t="s">
        <v>15</v>
      </c>
    </row>
    <row r="84" spans="1:10" s="1" customFormat="1" ht="18.75" customHeight="1" x14ac:dyDescent="0.25">
      <c r="A84" s="1" t="s">
        <v>10</v>
      </c>
      <c r="B84" s="1">
        <v>1</v>
      </c>
      <c r="C84" s="2">
        <v>46136.660162037035</v>
      </c>
      <c r="D84" s="1" t="s">
        <v>11</v>
      </c>
      <c r="E84" s="1" t="s">
        <v>165</v>
      </c>
      <c r="F84" s="1" t="str">
        <f>"001392"</f>
        <v>001392</v>
      </c>
      <c r="G84" s="1" t="s">
        <v>166</v>
      </c>
      <c r="H84" s="1" t="s">
        <v>167</v>
      </c>
      <c r="I84" s="3">
        <v>46136</v>
      </c>
      <c r="J84" s="1" t="s">
        <v>15</v>
      </c>
    </row>
    <row r="85" spans="1:10" s="1" customFormat="1" ht="18.75" customHeight="1" x14ac:dyDescent="0.25">
      <c r="A85" s="1" t="s">
        <v>10</v>
      </c>
      <c r="B85" s="1">
        <v>1</v>
      </c>
      <c r="C85" s="2">
        <v>46136.721875000003</v>
      </c>
      <c r="D85" s="1" t="s">
        <v>11</v>
      </c>
      <c r="E85" s="1" t="s">
        <v>168</v>
      </c>
      <c r="F85" s="1" t="str">
        <f>"001392"</f>
        <v>001392</v>
      </c>
      <c r="G85" s="1" t="s">
        <v>166</v>
      </c>
      <c r="H85" s="1" t="s">
        <v>167</v>
      </c>
      <c r="I85" s="3">
        <v>46136</v>
      </c>
      <c r="J85" s="1" t="s">
        <v>15</v>
      </c>
    </row>
    <row r="86" spans="1:10" s="1" customFormat="1" ht="18.75" customHeight="1" x14ac:dyDescent="0.25">
      <c r="A86" s="1" t="s">
        <v>10</v>
      </c>
      <c r="B86" s="1">
        <v>1</v>
      </c>
      <c r="C86" s="2">
        <v>46142.542939814812</v>
      </c>
      <c r="D86" s="1" t="s">
        <v>11</v>
      </c>
      <c r="E86" s="1" t="s">
        <v>169</v>
      </c>
      <c r="F86" s="1" t="str">
        <f>"10911"</f>
        <v>10911</v>
      </c>
      <c r="G86" s="1" t="s">
        <v>17</v>
      </c>
      <c r="H86" s="1" t="s">
        <v>170</v>
      </c>
      <c r="I86" s="3">
        <v>46142</v>
      </c>
      <c r="J86" s="1" t="s">
        <v>23</v>
      </c>
    </row>
    <row r="87" spans="1:10" s="1" customFormat="1" ht="18.75" customHeight="1" x14ac:dyDescent="0.25">
      <c r="A87" s="1" t="s">
        <v>10</v>
      </c>
      <c r="B87" s="1">
        <v>3</v>
      </c>
      <c r="C87" s="2">
        <v>46142.54420138889</v>
      </c>
      <c r="D87" s="1" t="s">
        <v>11</v>
      </c>
      <c r="E87" s="1" t="s">
        <v>171</v>
      </c>
      <c r="F87" s="1" t="str">
        <f>"10988"</f>
        <v>10988</v>
      </c>
      <c r="G87" s="1" t="s">
        <v>17</v>
      </c>
      <c r="H87" s="1" t="s">
        <v>172</v>
      </c>
      <c r="I87" s="3">
        <v>46142</v>
      </c>
      <c r="J87" s="1" t="s">
        <v>23</v>
      </c>
    </row>
    <row r="88" spans="1:10" x14ac:dyDescent="0.25">
      <c r="A88" s="7" t="s">
        <v>10</v>
      </c>
      <c r="B88" s="7">
        <v>1</v>
      </c>
      <c r="C88" s="8">
        <v>46142.545682870368</v>
      </c>
      <c r="D88" s="7" t="s">
        <v>11</v>
      </c>
      <c r="E88" s="7" t="s">
        <v>180</v>
      </c>
      <c r="F88" s="7" t="str">
        <f>"11477"</f>
        <v>11477</v>
      </c>
      <c r="G88" s="7" t="s">
        <v>17</v>
      </c>
      <c r="H88" s="7" t="s">
        <v>181</v>
      </c>
      <c r="I88" s="9">
        <v>46142</v>
      </c>
      <c r="J88" s="7" t="s">
        <v>23</v>
      </c>
    </row>
    <row r="89" spans="1:10" x14ac:dyDescent="0.25">
      <c r="A89" s="7" t="s">
        <v>10</v>
      </c>
      <c r="B89" s="7">
        <v>3</v>
      </c>
      <c r="C89" s="8">
        <v>46142.558379629627</v>
      </c>
      <c r="D89" s="7" t="s">
        <v>11</v>
      </c>
      <c r="E89" s="7" t="s">
        <v>182</v>
      </c>
      <c r="F89" s="7" t="str">
        <f>"003550"</f>
        <v>003550</v>
      </c>
      <c r="G89" s="7" t="s">
        <v>17</v>
      </c>
      <c r="H89" s="7" t="s">
        <v>183</v>
      </c>
      <c r="I89" s="9">
        <v>46142</v>
      </c>
      <c r="J89" s="7" t="s">
        <v>23</v>
      </c>
    </row>
    <row r="90" spans="1:10" x14ac:dyDescent="0.25">
      <c r="A90" s="7" t="s">
        <v>10</v>
      </c>
      <c r="B90" s="7">
        <v>8</v>
      </c>
      <c r="C90" s="8">
        <v>46142.643680555557</v>
      </c>
      <c r="D90" s="7" t="s">
        <v>11</v>
      </c>
      <c r="E90" s="7" t="s">
        <v>184</v>
      </c>
      <c r="F90" s="7" t="str">
        <f>"002620"</f>
        <v>002620</v>
      </c>
      <c r="G90" s="7" t="s">
        <v>17</v>
      </c>
      <c r="H90" s="7" t="s">
        <v>185</v>
      </c>
      <c r="I90" s="9">
        <v>46142</v>
      </c>
      <c r="J90" s="7" t="s">
        <v>23</v>
      </c>
    </row>
    <row r="91" spans="1:10" x14ac:dyDescent="0.25">
      <c r="A91" s="7" t="s">
        <v>10</v>
      </c>
      <c r="B91" s="7">
        <v>1</v>
      </c>
      <c r="C91" s="8">
        <v>46142.647569444445</v>
      </c>
      <c r="D91" s="7" t="s">
        <v>11</v>
      </c>
      <c r="E91" s="7" t="s">
        <v>105</v>
      </c>
      <c r="F91" s="7" t="str">
        <f>"11406"</f>
        <v>11406</v>
      </c>
      <c r="G91" s="7" t="s">
        <v>17</v>
      </c>
      <c r="H91" s="7" t="s">
        <v>106</v>
      </c>
      <c r="I91" s="9">
        <v>46142</v>
      </c>
      <c r="J91" s="7" t="s">
        <v>23</v>
      </c>
    </row>
    <row r="92" spans="1:10" x14ac:dyDescent="0.25">
      <c r="A92" s="7" t="s">
        <v>10</v>
      </c>
      <c r="B92" s="7">
        <v>2</v>
      </c>
      <c r="C92" s="10">
        <v>46142.649201388886</v>
      </c>
      <c r="D92" s="7" t="s">
        <v>11</v>
      </c>
      <c r="E92" s="11" t="s">
        <v>178</v>
      </c>
      <c r="F92" s="12" t="str">
        <f>"002948"</f>
        <v>002948</v>
      </c>
      <c r="G92" s="7" t="s">
        <v>17</v>
      </c>
      <c r="H92" s="7" t="s">
        <v>179</v>
      </c>
      <c r="I92" s="13">
        <v>46142</v>
      </c>
      <c r="J92" s="7" t="s">
        <v>23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D2E5-FEF6-45C5-91C8-7EC4AA10506A}">
  <dimension ref="A1:J16"/>
  <sheetViews>
    <sheetView topLeftCell="A10" workbookViewId="0">
      <selection activeCell="F14" sqref="F14"/>
    </sheetView>
  </sheetViews>
  <sheetFormatPr baseColWidth="10" defaultRowHeight="15" x14ac:dyDescent="0.25"/>
  <cols>
    <col min="1" max="1" width="10.140625" bestFit="1" customWidth="1"/>
    <col min="2" max="2" width="21.7109375" bestFit="1" customWidth="1"/>
    <col min="3" max="3" width="14.7109375" bestFit="1" customWidth="1"/>
    <col min="4" max="4" width="9" bestFit="1" customWidth="1"/>
    <col min="5" max="5" width="22.5703125" bestFit="1" customWidth="1"/>
    <col min="6" max="6" width="12.7109375" bestFit="1" customWidth="1"/>
    <col min="7" max="7" width="18.42578125" bestFit="1" customWidth="1"/>
    <col min="8" max="8" width="64.42578125" bestFit="1" customWidth="1"/>
    <col min="9" max="9" width="16.140625" bestFit="1" customWidth="1"/>
    <col min="10" max="10" width="20.7109375" bestFit="1" customWidth="1"/>
  </cols>
  <sheetData>
    <row r="1" spans="1:10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t="s">
        <v>10</v>
      </c>
      <c r="B2">
        <v>1</v>
      </c>
      <c r="C2" s="4">
        <v>46136.641331018516</v>
      </c>
      <c r="D2" t="s">
        <v>11</v>
      </c>
      <c r="E2" t="str">
        <f>"300020977108968"</f>
        <v>300020977108968</v>
      </c>
      <c r="F2" t="str">
        <f>"000189"</f>
        <v>000189</v>
      </c>
      <c r="G2" t="s">
        <v>17</v>
      </c>
      <c r="H2" t="s">
        <v>164</v>
      </c>
      <c r="I2" s="5">
        <v>46141</v>
      </c>
      <c r="J2" t="s">
        <v>15</v>
      </c>
    </row>
    <row r="3" spans="1:10" x14ac:dyDescent="0.25">
      <c r="A3" t="s">
        <v>10</v>
      </c>
      <c r="B3">
        <v>1</v>
      </c>
      <c r="C3" s="4">
        <v>46136.721875000003</v>
      </c>
      <c r="D3" t="s">
        <v>11</v>
      </c>
      <c r="E3" t="s">
        <v>168</v>
      </c>
      <c r="F3" t="str">
        <f>"001392"</f>
        <v>001392</v>
      </c>
      <c r="G3" t="s">
        <v>166</v>
      </c>
      <c r="H3" t="s">
        <v>167</v>
      </c>
      <c r="I3" s="5">
        <v>46136</v>
      </c>
      <c r="J3" t="s">
        <v>15</v>
      </c>
    </row>
    <row r="4" spans="1:10" x14ac:dyDescent="0.25">
      <c r="A4" t="s">
        <v>10</v>
      </c>
      <c r="B4">
        <v>1</v>
      </c>
      <c r="C4" s="4">
        <v>46136.660162037035</v>
      </c>
      <c r="D4" t="s">
        <v>11</v>
      </c>
      <c r="E4" t="s">
        <v>165</v>
      </c>
      <c r="F4" t="str">
        <f>"001392"</f>
        <v>001392</v>
      </c>
      <c r="G4" t="s">
        <v>166</v>
      </c>
      <c r="H4" t="s">
        <v>167</v>
      </c>
      <c r="I4" s="5">
        <v>46136</v>
      </c>
      <c r="J4" t="s">
        <v>15</v>
      </c>
    </row>
    <row r="5" spans="1:10" x14ac:dyDescent="0.25">
      <c r="A5" t="s">
        <v>10</v>
      </c>
      <c r="B5">
        <v>1</v>
      </c>
      <c r="C5" s="4">
        <v>46141.56386574074</v>
      </c>
      <c r="D5" t="s">
        <v>11</v>
      </c>
      <c r="E5" t="s">
        <v>173</v>
      </c>
      <c r="F5" t="str">
        <f>"004828"</f>
        <v>004828</v>
      </c>
      <c r="G5" t="s">
        <v>17</v>
      </c>
      <c r="H5" t="s">
        <v>148</v>
      </c>
      <c r="I5" s="5">
        <v>46142</v>
      </c>
      <c r="J5" t="s">
        <v>23</v>
      </c>
    </row>
    <row r="6" spans="1:10" x14ac:dyDescent="0.25">
      <c r="A6" t="s">
        <v>10</v>
      </c>
      <c r="B6">
        <v>6</v>
      </c>
      <c r="C6" s="4">
        <v>46141.601365740738</v>
      </c>
      <c r="D6" t="s">
        <v>11</v>
      </c>
      <c r="E6" t="s">
        <v>174</v>
      </c>
      <c r="F6" t="str">
        <f>"10630"</f>
        <v>10630</v>
      </c>
      <c r="G6" t="s">
        <v>17</v>
      </c>
      <c r="H6" t="s">
        <v>175</v>
      </c>
      <c r="I6" s="5">
        <v>46142</v>
      </c>
      <c r="J6" t="s">
        <v>23</v>
      </c>
    </row>
    <row r="7" spans="1:10" x14ac:dyDescent="0.25">
      <c r="A7" t="s">
        <v>10</v>
      </c>
      <c r="B7">
        <v>2</v>
      </c>
      <c r="C7" s="4">
        <v>46141.609560185185</v>
      </c>
      <c r="D7" t="s">
        <v>11</v>
      </c>
      <c r="E7" t="s">
        <v>24</v>
      </c>
      <c r="F7" t="str">
        <f>"10609"</f>
        <v>10609</v>
      </c>
      <c r="G7" t="s">
        <v>17</v>
      </c>
      <c r="H7" t="s">
        <v>25</v>
      </c>
      <c r="I7" s="5">
        <v>46142</v>
      </c>
      <c r="J7" t="s">
        <v>23</v>
      </c>
    </row>
    <row r="8" spans="1:10" x14ac:dyDescent="0.25">
      <c r="A8" t="s">
        <v>10</v>
      </c>
      <c r="B8">
        <v>1</v>
      </c>
      <c r="C8" s="4">
        <v>46141.60527777778</v>
      </c>
      <c r="D8" t="s">
        <v>11</v>
      </c>
      <c r="E8" t="s">
        <v>176</v>
      </c>
      <c r="F8" t="str">
        <f>"002333"</f>
        <v>002333</v>
      </c>
      <c r="G8" t="s">
        <v>110</v>
      </c>
      <c r="H8" t="s">
        <v>111</v>
      </c>
      <c r="I8" s="5">
        <v>46142</v>
      </c>
      <c r="J8" t="s">
        <v>23</v>
      </c>
    </row>
    <row r="9" spans="1:10" x14ac:dyDescent="0.25">
      <c r="A9" t="s">
        <v>10</v>
      </c>
      <c r="B9">
        <v>2</v>
      </c>
      <c r="C9" s="4">
        <v>46142.541041666664</v>
      </c>
      <c r="D9" t="s">
        <v>11</v>
      </c>
      <c r="E9" t="s">
        <v>177</v>
      </c>
      <c r="F9" t="str">
        <f>"001586"</f>
        <v>001586</v>
      </c>
      <c r="G9" t="s">
        <v>17</v>
      </c>
      <c r="H9" t="s">
        <v>97</v>
      </c>
      <c r="I9" s="5">
        <v>46142</v>
      </c>
      <c r="J9" t="s">
        <v>23</v>
      </c>
    </row>
    <row r="10" spans="1:10" x14ac:dyDescent="0.25">
      <c r="A10" t="s">
        <v>10</v>
      </c>
      <c r="B10">
        <v>2</v>
      </c>
      <c r="C10" s="4">
        <v>46142.649201388886</v>
      </c>
      <c r="D10" t="s">
        <v>11</v>
      </c>
      <c r="E10" t="s">
        <v>178</v>
      </c>
      <c r="F10" t="str">
        <f>"002948"</f>
        <v>002948</v>
      </c>
      <c r="G10" t="s">
        <v>17</v>
      </c>
      <c r="H10" t="s">
        <v>179</v>
      </c>
      <c r="I10" s="5">
        <v>46142</v>
      </c>
      <c r="J10" t="s">
        <v>23</v>
      </c>
    </row>
    <row r="11" spans="1:10" x14ac:dyDescent="0.25">
      <c r="A11" t="s">
        <v>10</v>
      </c>
      <c r="B11">
        <v>1</v>
      </c>
      <c r="C11" s="4">
        <v>46142.542939814812</v>
      </c>
      <c r="D11" t="s">
        <v>11</v>
      </c>
      <c r="E11" t="s">
        <v>169</v>
      </c>
      <c r="F11" t="str">
        <f>"10911"</f>
        <v>10911</v>
      </c>
      <c r="G11" t="s">
        <v>17</v>
      </c>
      <c r="H11" t="s">
        <v>170</v>
      </c>
      <c r="I11" s="5">
        <v>46142</v>
      </c>
      <c r="J11" t="s">
        <v>23</v>
      </c>
    </row>
    <row r="12" spans="1:10" x14ac:dyDescent="0.25">
      <c r="A12" t="s">
        <v>10</v>
      </c>
      <c r="B12">
        <v>3</v>
      </c>
      <c r="C12" s="4">
        <v>46142.54420138889</v>
      </c>
      <c r="D12" t="s">
        <v>11</v>
      </c>
      <c r="E12" t="s">
        <v>171</v>
      </c>
      <c r="F12" t="str">
        <f>"10988"</f>
        <v>10988</v>
      </c>
      <c r="G12" t="s">
        <v>17</v>
      </c>
      <c r="H12" t="s">
        <v>172</v>
      </c>
      <c r="I12" s="5">
        <v>46142</v>
      </c>
      <c r="J12" t="s">
        <v>23</v>
      </c>
    </row>
    <row r="13" spans="1:10" x14ac:dyDescent="0.25">
      <c r="A13" t="s">
        <v>10</v>
      </c>
      <c r="B13">
        <v>1</v>
      </c>
      <c r="C13" s="4">
        <v>46142.545682870368</v>
      </c>
      <c r="D13" t="s">
        <v>11</v>
      </c>
      <c r="E13" t="s">
        <v>180</v>
      </c>
      <c r="F13" t="str">
        <f>"11477"</f>
        <v>11477</v>
      </c>
      <c r="G13" t="s">
        <v>17</v>
      </c>
      <c r="H13" t="s">
        <v>181</v>
      </c>
      <c r="I13" s="5">
        <v>46142</v>
      </c>
      <c r="J13" t="s">
        <v>23</v>
      </c>
    </row>
    <row r="14" spans="1:10" x14ac:dyDescent="0.25">
      <c r="A14" t="s">
        <v>10</v>
      </c>
      <c r="B14">
        <v>3</v>
      </c>
      <c r="C14" s="4">
        <v>46142.558379629627</v>
      </c>
      <c r="D14" t="s">
        <v>11</v>
      </c>
      <c r="E14" t="s">
        <v>182</v>
      </c>
      <c r="F14" t="str">
        <f>"003550"</f>
        <v>003550</v>
      </c>
      <c r="G14" t="s">
        <v>17</v>
      </c>
      <c r="H14" t="s">
        <v>183</v>
      </c>
      <c r="I14" s="5">
        <v>46142</v>
      </c>
      <c r="J14" t="s">
        <v>23</v>
      </c>
    </row>
    <row r="15" spans="1:10" x14ac:dyDescent="0.25">
      <c r="A15" t="s">
        <v>10</v>
      </c>
      <c r="B15">
        <v>8</v>
      </c>
      <c r="C15" s="4">
        <v>46142.643680555557</v>
      </c>
      <c r="D15" t="s">
        <v>11</v>
      </c>
      <c r="E15" t="s">
        <v>184</v>
      </c>
      <c r="F15" t="str">
        <f>"002620"</f>
        <v>002620</v>
      </c>
      <c r="G15" t="s">
        <v>17</v>
      </c>
      <c r="H15" t="s">
        <v>185</v>
      </c>
      <c r="I15" s="5">
        <v>46142</v>
      </c>
      <c r="J15" t="s">
        <v>23</v>
      </c>
    </row>
    <row r="16" spans="1:10" x14ac:dyDescent="0.25">
      <c r="A16" t="s">
        <v>10</v>
      </c>
      <c r="B16">
        <v>1</v>
      </c>
      <c r="C16" s="4">
        <v>46142.647569444445</v>
      </c>
      <c r="D16" t="s">
        <v>11</v>
      </c>
      <c r="E16" t="s">
        <v>105</v>
      </c>
      <c r="F16" t="str">
        <f>"11406"</f>
        <v>11406</v>
      </c>
      <c r="G16" t="s">
        <v>17</v>
      </c>
      <c r="H16" t="s">
        <v>106</v>
      </c>
      <c r="I16" s="5">
        <v>46142</v>
      </c>
      <c r="J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ABRIL</vt:lpstr>
      <vt:lpstr>MAYO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Limpias Rivero</dc:creator>
  <cp:lastModifiedBy>Maria Eugenia Limpias Rivero</cp:lastModifiedBy>
  <dcterms:created xsi:type="dcterms:W3CDTF">2026-04-24T14:09:17Z</dcterms:created>
  <dcterms:modified xsi:type="dcterms:W3CDTF">2026-05-04T19:53:55Z</dcterms:modified>
</cp:coreProperties>
</file>