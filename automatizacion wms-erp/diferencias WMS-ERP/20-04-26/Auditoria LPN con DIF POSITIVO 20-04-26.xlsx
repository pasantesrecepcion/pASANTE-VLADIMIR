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ELIMPIAS\Documents\automatizacion wms-erp\diferencias WMS-ERP\20-04-26\"/>
    </mc:Choice>
  </mc:AlternateContent>
  <xr:revisionPtr revIDLastSave="0" documentId="13_ncr:1_{810AC380-11EB-4E9C-915D-03FF8558708B}" xr6:coauthVersionLast="36" xr6:coauthVersionMax="36" xr10:uidLastSave="{00000000-0000-0000-0000-000000000000}"/>
  <bookViews>
    <workbookView xWindow="0" yWindow="0" windowWidth="20490" windowHeight="6945" xr2:uid="{00000000-000D-0000-FFFF-FFFF00000000}"/>
  </bookViews>
  <sheets>
    <sheet name="Sheet1" sheetId="1" r:id="rId1"/>
  </sheets>
  <definedNames>
    <definedName name="_xlnm._FilterDatabase" localSheetId="0" hidden="1">Sheet1!$A$1:$H$123</definedName>
  </definedNames>
  <calcPr calcId="191029"/>
</workbook>
</file>

<file path=xl/calcChain.xml><?xml version="1.0" encoding="utf-8"?>
<calcChain xmlns="http://schemas.openxmlformats.org/spreadsheetml/2006/main">
  <c r="A44" i="1" l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<sst xmlns="http://schemas.openxmlformats.org/spreadsheetml/2006/main" count="453" uniqueCount="219">
  <si>
    <t>Envio Recibido</t>
  </si>
  <si>
    <t>Producto</t>
  </si>
  <si>
    <t>Descripcion</t>
  </si>
  <si>
    <t>Tipo ASN</t>
  </si>
  <si>
    <t>Fe y Hr Crea</t>
  </si>
  <si>
    <t>Cant Recibida</t>
  </si>
  <si>
    <t>Cantidad actual</t>
  </si>
  <si>
    <t>DIF</t>
  </si>
  <si>
    <t>SIGNUM 100MG X 35 COMP SITAGLIPTINA</t>
  </si>
  <si>
    <t>ET</t>
  </si>
  <si>
    <t>16/04/2026 13:11:38</t>
  </si>
  <si>
    <t>AQUATEARS SP COLIRIO X 10ML HIALURONATO SODIO/CONDROITINA</t>
  </si>
  <si>
    <t>15/04/2026 15:54:32</t>
  </si>
  <si>
    <t>PLATELET 250MG IM-IV X 4 AMP/2ML ETAMSILATO</t>
  </si>
  <si>
    <t>16/04/2026 10:41:09</t>
  </si>
  <si>
    <t>MAXIBONAGEL SUSP X200ML S/HERBAL MAGALDRATO/SIMETI</t>
  </si>
  <si>
    <t>16/04/2026 10:41:08</t>
  </si>
  <si>
    <t>SEPTIQUIN F X 30 CAP CIPROFLOXACINA/FENAZOPIRIDINA</t>
  </si>
  <si>
    <t>17/04/2026 09:27:14</t>
  </si>
  <si>
    <t>17/04/2026 09:27:13</t>
  </si>
  <si>
    <t>LEVICALM 1000MG X 30 COMP LEVETIRACETAM</t>
  </si>
  <si>
    <t>17/04/2026 09:12:54</t>
  </si>
  <si>
    <t>16/04/2026 10:49:53</t>
  </si>
  <si>
    <t>17/04/2026 09:35:35</t>
  </si>
  <si>
    <t>17/04/2026 10:53:01</t>
  </si>
  <si>
    <t>FIXIM 100MG/5ML SUSP X 100ML CEFIXIMA</t>
  </si>
  <si>
    <t>17/04/2026 10:53:00</t>
  </si>
  <si>
    <t>VIDILOW B SP COLIRIO X 6ML (ANTIGLAUCOMA)</t>
  </si>
  <si>
    <t>ESPASMO LOXADIM IM-IV X16 DOSIS/2 AMP PROPIN/DIPIR</t>
  </si>
  <si>
    <t>HYLUB SP 0.15% COLIRIO X 10ML HIALURONATO SODIO</t>
  </si>
  <si>
    <t>DEFLAZAN 30MG X 10 COMP DEFLAZACORT</t>
  </si>
  <si>
    <t>16/04/2026 13:31:25</t>
  </si>
  <si>
    <t>NOVIREX 200MG/5ML SUSP X 100ML ACICLOVIR</t>
  </si>
  <si>
    <t>17/04/2026 09:32:42</t>
  </si>
  <si>
    <t>17/04/2026 10:06:16</t>
  </si>
  <si>
    <t>FIXIM DT 400MG X 6 COMP DISP CEFIXIMA</t>
  </si>
  <si>
    <t>VIDIMOX 0.5% COLIRIO X 5ML MOXIFLOXACINO</t>
  </si>
  <si>
    <t>17/04/2026 10:06:18</t>
  </si>
  <si>
    <t>17/04/2026 10:06:17</t>
  </si>
  <si>
    <t>LUBRISTAR SP 0.3% COLIRIO X 10ML HIALURONATO SODIO</t>
  </si>
  <si>
    <t>15/04/2026 15:58:02</t>
  </si>
  <si>
    <t>14/04/2026 17:10:17</t>
  </si>
  <si>
    <t>15/04/2026 15:59:23</t>
  </si>
  <si>
    <t>17/04/2026 11:12:49</t>
  </si>
  <si>
    <t>17/04/2026 11:12:47</t>
  </si>
  <si>
    <t>17/04/2026 11:12:46</t>
  </si>
  <si>
    <t>16/04/2026 10:59:35</t>
  </si>
  <si>
    <t>15/04/2026 16:04:46</t>
  </si>
  <si>
    <t>15/04/2026 16:07:11</t>
  </si>
  <si>
    <t>17/04/2026 11:31:35</t>
  </si>
  <si>
    <t>17/04/2026 09:47:11</t>
  </si>
  <si>
    <t>17/04/2026 09:47:04</t>
  </si>
  <si>
    <t>16/04/2026 10:30:32</t>
  </si>
  <si>
    <t>16/04/2026 10:30:30</t>
  </si>
  <si>
    <t>16/04/2026 11:21:38</t>
  </si>
  <si>
    <t>16/04/2026 10:12:04</t>
  </si>
  <si>
    <t>16/04/2026 10:12:02</t>
  </si>
  <si>
    <t>17/04/2026 10:36:05</t>
  </si>
  <si>
    <t>OSB20000132499</t>
  </si>
  <si>
    <t>TRISOY TOSCANA VINAGRE DE ALCOHOL TINTO X 645ML</t>
  </si>
  <si>
    <t>04/04/2026 11:02:18</t>
  </si>
  <si>
    <t>OSB30000104648</t>
  </si>
  <si>
    <t>COPACABANA CAFE PREMIUM MOLIDO DP X 250GR</t>
  </si>
  <si>
    <t>04/04/2026 12:01:23</t>
  </si>
  <si>
    <t>COPACABANA CAFE TRADICIONAL BLS X 500GR</t>
  </si>
  <si>
    <t>04/04/2026 11:50:26</t>
  </si>
  <si>
    <t>COPACABANA CAFE LIOFILIZADO FCO X 200GR</t>
  </si>
  <si>
    <t>04/04/2026 12:10:15</t>
  </si>
  <si>
    <t>OSB30000105123</t>
  </si>
  <si>
    <t>BICARBONATO SODIO 8% X 25 AMP/20ML GENERICO LI</t>
  </si>
  <si>
    <t>01/04/2026 12:53:00</t>
  </si>
  <si>
    <t>01/04/2026 12:55:02</t>
  </si>
  <si>
    <t>SHB10000269656</t>
  </si>
  <si>
    <t>ALGODON FARMACORP X 10GR V</t>
  </si>
  <si>
    <t>EC</t>
  </si>
  <si>
    <t>02/04/2026 15:49:13</t>
  </si>
  <si>
    <t>SHB10000270035</t>
  </si>
  <si>
    <t>LEVOPLANT 75MG X 2 IMPLANTES SUBDERMICOS LEVONORGESTREL</t>
  </si>
  <si>
    <t>02/04/2026 10:06:10</t>
  </si>
  <si>
    <t>SHB10000270094</t>
  </si>
  <si>
    <t>SIONUS X 30 COMP LEVODOPA/CARBIDOPA</t>
  </si>
  <si>
    <t>06/04/2026 15:35:44</t>
  </si>
  <si>
    <t>SHB10000270105</t>
  </si>
  <si>
    <t>06/04/2026 12:43:21</t>
  </si>
  <si>
    <t>SHB10000270107</t>
  </si>
  <si>
    <t>06/04/2026 14:54:33</t>
  </si>
  <si>
    <t>06/04/2026 14:57:36</t>
  </si>
  <si>
    <t>SHB10000270108</t>
  </si>
  <si>
    <t>DOVE JABON X 135GR BLANCO</t>
  </si>
  <si>
    <t>06/04/2026 14:03:42</t>
  </si>
  <si>
    <t>SHB10000270125</t>
  </si>
  <si>
    <t>06/04/2026 14:38:26</t>
  </si>
  <si>
    <t>06/04/2026 14:30:02</t>
  </si>
  <si>
    <t>SHB10000270126</t>
  </si>
  <si>
    <t>06/04/2026 13:33:19</t>
  </si>
  <si>
    <t>SHB10000270197</t>
  </si>
  <si>
    <t>COTRIMOXAZOL 200/40MG SUSP X 100ML GENERICO LI</t>
  </si>
  <si>
    <t>07/04/2026 10:31:26</t>
  </si>
  <si>
    <t>SHB10000270302</t>
  </si>
  <si>
    <t>TODDY ORIGINAL CHOCOLATE X 1.8KG</t>
  </si>
  <si>
    <t>08/04/2026 10:20:45</t>
  </si>
  <si>
    <t>TODDY ORIGINAL X 370GR CHOCOLATE EN POLVO</t>
  </si>
  <si>
    <t>08/04/2026 10:27:14</t>
  </si>
  <si>
    <t>SHB10000270435</t>
  </si>
  <si>
    <t>09/04/2026 10:06:19</t>
  </si>
  <si>
    <t>SHB10000270437</t>
  </si>
  <si>
    <t>09/04/2026 09:46:16</t>
  </si>
  <si>
    <t>SHB10000270439</t>
  </si>
  <si>
    <t>09/04/2026 13:07:20</t>
  </si>
  <si>
    <t>SHB10000270442</t>
  </si>
  <si>
    <t>09/04/2026 13:20:23</t>
  </si>
  <si>
    <t>SHB10000270443</t>
  </si>
  <si>
    <t>09/04/2026 14:36:16</t>
  </si>
  <si>
    <t>SHB10000270444</t>
  </si>
  <si>
    <t>09/04/2026 15:06:24</t>
  </si>
  <si>
    <t>09/04/2026 15:04:15</t>
  </si>
  <si>
    <t>SHB10000270473</t>
  </si>
  <si>
    <t>09/04/2026 14:26:35</t>
  </si>
  <si>
    <t>SHB10000270490</t>
  </si>
  <si>
    <t>09/04/2026 11:20:43</t>
  </si>
  <si>
    <t>09/04/2026 11:08:00</t>
  </si>
  <si>
    <t>SHB10000270494</t>
  </si>
  <si>
    <t>NEUTROGENA SUN FRESH PROT FACIAL FPS50 X 40ML S/COLOR</t>
  </si>
  <si>
    <t>09/04/2026 17:42:38</t>
  </si>
  <si>
    <t>SHB10000270519</t>
  </si>
  <si>
    <t>KILLER VARITAS REPELENTES LATA X 14UND LAVANDA</t>
  </si>
  <si>
    <t>09/04/2026 13:31:47</t>
  </si>
  <si>
    <t>SHB10000270614</t>
  </si>
  <si>
    <t>VITAMINA C  ZINC TBO X 20 TAB EFERV (NUTRAZUL)</t>
  </si>
  <si>
    <t>13/04/2026 14:20:52</t>
  </si>
  <si>
    <t>SHB10000270619</t>
  </si>
  <si>
    <t>PROPOFOL-LIPURO 1% 200MG IV X 5 AMP/20ML(R/MED)</t>
  </si>
  <si>
    <t>13/04/2026 18:00:41</t>
  </si>
  <si>
    <t>SHB10000270864</t>
  </si>
  <si>
    <t>EQUIPO P/SUERO VENOCLISIS SIN/AGUJA NIPRO (HP)</t>
  </si>
  <si>
    <t>15/04/2026 10:29:38</t>
  </si>
  <si>
    <t>SHB10000270905</t>
  </si>
  <si>
    <t>15/04/2026 09:57:05</t>
  </si>
  <si>
    <t>SHB10000270921</t>
  </si>
  <si>
    <t>FORTZINK 10MG/ML GTA X 30ML ZINC</t>
  </si>
  <si>
    <t>15/04/2026 11:58:46</t>
  </si>
  <si>
    <t>SHB10000271039</t>
  </si>
  <si>
    <t>17/04/2026 18:09:22</t>
  </si>
  <si>
    <t>SHB10000271142</t>
  </si>
  <si>
    <t>OLA AROMATIC LIMPIADOR LAVANDA RELAJANTE X 5LT</t>
  </si>
  <si>
    <t>17/04/2026 16:41:44</t>
  </si>
  <si>
    <t>SHB10000270522</t>
  </si>
  <si>
    <t>TAKIS ORIGINAL BOLSA X 56 GR SABOR TACO</t>
  </si>
  <si>
    <t>RF</t>
  </si>
  <si>
    <t>15/04/2026 13:23:15</t>
  </si>
  <si>
    <t>TAKIS FUEGO BOLSA X 240 GR SABOR AJI Y LIMON</t>
  </si>
  <si>
    <t>15/04/2026 13:06:19</t>
  </si>
  <si>
    <t>TAKIS FUEGO BOLSA X 28 GR SABOR AJI Y LIMON</t>
  </si>
  <si>
    <t>15/04/2026 13:22:55</t>
  </si>
  <si>
    <t>ACTIVADE BEBIDA ISOTONICA X 600ML FRAMBUESA</t>
  </si>
  <si>
    <t>15/04/2026 15:27:07</t>
  </si>
  <si>
    <t>ACTIVADE BEBIDA HIDRATANTE X 600ML MORA</t>
  </si>
  <si>
    <t>15/04/2026 15:18:54</t>
  </si>
  <si>
    <t>ACTIVADE PACK BEBIDA ISOTONICA 2 X 600ML</t>
  </si>
  <si>
    <t>15/04/2026 13:31:43</t>
  </si>
  <si>
    <t>ACTIVADE BEBIDA ISOTONICA X 1LT FRUTILLA</t>
  </si>
  <si>
    <t>15/04/2026 11:14:37</t>
  </si>
  <si>
    <t>ACTIVADE ZERO BEBIDA HIDRATANTE X 600ML BOOST MANGO</t>
  </si>
  <si>
    <t>15/04/2026 15:30:13</t>
  </si>
  <si>
    <t>ACTIVADE BEBIDA HIDRATANTE X 1LT MORA</t>
  </si>
  <si>
    <t>15/04/2026 15:28:51</t>
  </si>
  <si>
    <t>ACTIVADE PACK BEBIDA ISOTONICA 2 X 1 LT.</t>
  </si>
  <si>
    <t>15/04/2026 15:24:43</t>
  </si>
  <si>
    <t>CICLON PERFORMANCE DRINK X 500ML BOTELLA</t>
  </si>
  <si>
    <t>15/04/2026 14:30:52</t>
  </si>
  <si>
    <t>SHB10000270938</t>
  </si>
  <si>
    <t>15/04/2026 13:39:06</t>
  </si>
  <si>
    <t>SHB10000270946</t>
  </si>
  <si>
    <t>15/04/2026 16:19:43</t>
  </si>
  <si>
    <t>15/04/2026 16:13:26</t>
  </si>
  <si>
    <t>SHB10000270963</t>
  </si>
  <si>
    <t>AMATE TE FRIO NEGRO/MENTA/MARACUY X 500ML C/STEVIA</t>
  </si>
  <si>
    <t>15/04/2026 14:46:46</t>
  </si>
  <si>
    <t>AMATE TE FRIO REINVENTATE X 500ML FLOR DE JAMAICA</t>
  </si>
  <si>
    <t>15/04/2026 14:53:10</t>
  </si>
  <si>
    <t>(En Blanco)</t>
  </si>
  <si>
    <t>11/04/2026 15:01:45</t>
  </si>
  <si>
    <t>13/04/2026 14:21:59</t>
  </si>
  <si>
    <t>COLECTOR DE ORINA TRANS X 120/100/80ML STERIL (HP)</t>
  </si>
  <si>
    <t>11/04/2026 15:32:43</t>
  </si>
  <si>
    <t>SILDENAFIL 100MG X 40 TAB GENERICO</t>
  </si>
  <si>
    <t>14/04/2026 12:11:57</t>
  </si>
  <si>
    <t>04/04/2026 14:02:16</t>
  </si>
  <si>
    <t>04/04/2026 10:30:25</t>
  </si>
  <si>
    <t>10/04/2026 13:29:11</t>
  </si>
  <si>
    <t>TALIS UD 5MG X 30 COMP TADALAFILO</t>
  </si>
  <si>
    <t>18/04/2026 11:16:11</t>
  </si>
  <si>
    <t>POSTPIL 1.5MG X 1 COMP LEVONORGESTREL</t>
  </si>
  <si>
    <t>18/04/2026 12:14:59</t>
  </si>
  <si>
    <t>CHOCO SODA GALLETA X 39GR/36GR</t>
  </si>
  <si>
    <t>04/04/2026 09:37:02</t>
  </si>
  <si>
    <t>04/04/2026 09:32:46</t>
  </si>
  <si>
    <t>04/04/2026 08:54:23</t>
  </si>
  <si>
    <t>04/04/2026 09:47:23</t>
  </si>
  <si>
    <t>CEYLAN MATE X 20 BLS SABOR MANZANILLA</t>
  </si>
  <si>
    <t>07/04/2026 09:54:40</t>
  </si>
  <si>
    <t>04/04/2026 08:56:08</t>
  </si>
  <si>
    <t>04/04/2026 09:22:11</t>
  </si>
  <si>
    <t>07/04/2026 17:37:48</t>
  </si>
  <si>
    <t>07/04/2026 14:29:23</t>
  </si>
  <si>
    <t>GAFAS DE BIOSEGURIDAD 3M VIRTUA CLASIC CLARA DESC</t>
  </si>
  <si>
    <t>10/04/2026 09:51:51</t>
  </si>
  <si>
    <t>GAFAS DE BIOSEGURIDAD 3M VIRTUA CLASIC OSCURA DESC</t>
  </si>
  <si>
    <t>10/04/2026 10:23:36</t>
  </si>
  <si>
    <t>GAFAS DE BIOSEGURIDAD 3M VIRTUA PLUS LIGA CLARA DE</t>
  </si>
  <si>
    <t>10/04/2026 11:09:18</t>
  </si>
  <si>
    <t>NO USAR BATON X 16GR CHOCOLATE LECHE  DISX30  133</t>
  </si>
  <si>
    <t>04/04/2026 08:16:48</t>
  </si>
  <si>
    <t>PRIMOGATO PREMIUN ADULT X 3KG CARNE/POLLO/PESCADO</t>
  </si>
  <si>
    <t>09/04/2026 08:59:13</t>
  </si>
  <si>
    <t>AVENT BIBERON NATURAL X 260ML 1M  SCF033/15 VERDE(DESC)</t>
  </si>
  <si>
    <t>04/04/2026 13:39:58</t>
  </si>
  <si>
    <t>WINDSOR TE PINA X 50 UNID(DESC)</t>
  </si>
  <si>
    <t>04/04/2026 14:11:15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</si>
</sst>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" fontId="0" fillId="2" borderId="0" xfId="0" applyNumberFormat="1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3"/>
  <sheetViews>
    <sheetView tabSelected="1" topLeftCell="A73" zoomScale="85" zoomScaleNormal="85" workbookViewId="0">
      <selection activeCell="D73" sqref="D73"/>
    </sheetView>
  </sheetViews>
  <sheetFormatPr baseColWidth="10" defaultColWidth="9.140625" defaultRowHeight="15" x14ac:dyDescent="0.25"/>
  <cols>
    <col min="1" max="1" width="15.5703125" bestFit="1" customWidth="1"/>
    <col min="2" max="2" width="16.7109375" bestFit="1" customWidth="1"/>
    <col min="3" max="3" width="63" bestFit="1" customWidth="1"/>
    <col min="4" max="4" width="10.85546875" bestFit="1" customWidth="1"/>
    <col min="5" max="5" width="18.42578125" bestFit="1" customWidth="1"/>
    <col min="6" max="6" width="13" bestFit="1" customWidth="1"/>
    <col min="7" max="7" width="14.5703125" bestFit="1" customWidth="1"/>
    <col min="8" max="8" width="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s="1" customFormat="1" x14ac:dyDescent="0.25">
      <c r="A2" s="1" t="str">
        <f>"2498970"</f>
        <v>2498970</v>
      </c>
      <c r="B2" s="2">
        <v>7770108269298</v>
      </c>
      <c r="C2" s="1" t="s">
        <v>8</v>
      </c>
      <c r="D2" s="1" t="s">
        <v>9</v>
      </c>
      <c r="E2" s="1" t="s">
        <v>10</v>
      </c>
      <c r="F2" s="1">
        <v>70</v>
      </c>
      <c r="G2" s="1">
        <v>70</v>
      </c>
      <c r="H2" s="1">
        <v>70</v>
      </c>
    </row>
    <row r="3" spans="1:8" s="1" customFormat="1" x14ac:dyDescent="0.25">
      <c r="A3" s="1" t="str">
        <f>"2498992"</f>
        <v>2498992</v>
      </c>
      <c r="B3" s="2">
        <v>7771011350202</v>
      </c>
      <c r="C3" s="1" t="s">
        <v>11</v>
      </c>
      <c r="D3" s="1" t="s">
        <v>9</v>
      </c>
      <c r="E3" s="1" t="s">
        <v>12</v>
      </c>
      <c r="F3" s="1">
        <v>1</v>
      </c>
      <c r="G3" s="1">
        <v>1</v>
      </c>
      <c r="H3" s="1">
        <v>2</v>
      </c>
    </row>
    <row r="4" spans="1:8" s="1" customFormat="1" x14ac:dyDescent="0.25">
      <c r="A4" s="1" t="str">
        <f>"2499000"</f>
        <v>2499000</v>
      </c>
      <c r="B4" s="2">
        <v>7770108264187</v>
      </c>
      <c r="C4" s="1" t="s">
        <v>13</v>
      </c>
      <c r="D4" s="1" t="s">
        <v>9</v>
      </c>
      <c r="E4" s="1" t="s">
        <v>14</v>
      </c>
      <c r="F4" s="1">
        <v>4</v>
      </c>
      <c r="G4" s="1">
        <v>4</v>
      </c>
      <c r="H4" s="1">
        <v>12</v>
      </c>
    </row>
    <row r="5" spans="1:8" s="1" customFormat="1" x14ac:dyDescent="0.25">
      <c r="A5" s="1" t="str">
        <f>"2499000"</f>
        <v>2499000</v>
      </c>
      <c r="B5" s="2">
        <v>7770108268185</v>
      </c>
      <c r="C5" s="1" t="s">
        <v>15</v>
      </c>
      <c r="D5" s="1" t="s">
        <v>9</v>
      </c>
      <c r="E5" s="1" t="s">
        <v>16</v>
      </c>
      <c r="F5" s="1">
        <v>1</v>
      </c>
      <c r="G5" s="1">
        <v>1</v>
      </c>
      <c r="H5" s="1">
        <v>4</v>
      </c>
    </row>
    <row r="6" spans="1:8" s="1" customFormat="1" x14ac:dyDescent="0.25">
      <c r="A6" s="1" t="str">
        <f>"2499006"</f>
        <v>2499006</v>
      </c>
      <c r="B6" s="2">
        <v>7770108263913</v>
      </c>
      <c r="C6" s="1" t="s">
        <v>17</v>
      </c>
      <c r="D6" s="1" t="s">
        <v>9</v>
      </c>
      <c r="E6" s="1" t="s">
        <v>18</v>
      </c>
      <c r="F6" s="1">
        <v>60</v>
      </c>
      <c r="G6" s="1">
        <v>60</v>
      </c>
      <c r="H6" s="1">
        <v>60</v>
      </c>
    </row>
    <row r="7" spans="1:8" s="1" customFormat="1" x14ac:dyDescent="0.25">
      <c r="A7" s="1" t="str">
        <f>"2499006"</f>
        <v>2499006</v>
      </c>
      <c r="B7" s="2">
        <v>7770108268185</v>
      </c>
      <c r="C7" s="1" t="s">
        <v>15</v>
      </c>
      <c r="D7" s="1" t="s">
        <v>9</v>
      </c>
      <c r="E7" s="1" t="s">
        <v>19</v>
      </c>
      <c r="F7" s="1">
        <v>2</v>
      </c>
      <c r="G7" s="1">
        <v>2</v>
      </c>
      <c r="H7" s="1">
        <v>4</v>
      </c>
    </row>
    <row r="8" spans="1:8" s="1" customFormat="1" x14ac:dyDescent="0.25">
      <c r="A8" s="1" t="str">
        <f>"2499024"</f>
        <v>2499024</v>
      </c>
      <c r="B8" s="2">
        <v>7771011350097</v>
      </c>
      <c r="C8" s="1" t="s">
        <v>20</v>
      </c>
      <c r="D8" s="1" t="s">
        <v>9</v>
      </c>
      <c r="E8" s="1" t="s">
        <v>21</v>
      </c>
      <c r="F8" s="1">
        <v>60</v>
      </c>
      <c r="G8" s="1">
        <v>60</v>
      </c>
      <c r="H8" s="1">
        <v>60</v>
      </c>
    </row>
    <row r="9" spans="1:8" s="1" customFormat="1" x14ac:dyDescent="0.25">
      <c r="A9" s="1" t="str">
        <f>"2499038"</f>
        <v>2499038</v>
      </c>
      <c r="B9" s="2">
        <v>7770108263913</v>
      </c>
      <c r="C9" s="1" t="s">
        <v>17</v>
      </c>
      <c r="D9" s="1" t="s">
        <v>9</v>
      </c>
      <c r="E9" s="1" t="s">
        <v>22</v>
      </c>
      <c r="F9" s="1">
        <v>30</v>
      </c>
      <c r="G9" s="1">
        <v>30</v>
      </c>
      <c r="H9" s="1">
        <v>60</v>
      </c>
    </row>
    <row r="10" spans="1:8" s="1" customFormat="1" x14ac:dyDescent="0.25">
      <c r="A10" s="1" t="str">
        <f>"2499176"</f>
        <v>2499176</v>
      </c>
      <c r="B10" s="2">
        <v>7770108268185</v>
      </c>
      <c r="C10" s="1" t="s">
        <v>15</v>
      </c>
      <c r="D10" s="1" t="s">
        <v>9</v>
      </c>
      <c r="E10" s="1" t="s">
        <v>23</v>
      </c>
      <c r="F10" s="1">
        <v>2</v>
      </c>
      <c r="G10" s="1">
        <v>2</v>
      </c>
      <c r="H10" s="1">
        <v>4</v>
      </c>
    </row>
    <row r="11" spans="1:8" s="1" customFormat="1" x14ac:dyDescent="0.25">
      <c r="A11" s="1" t="str">
        <f>"2499366"</f>
        <v>2499366</v>
      </c>
      <c r="B11" s="2">
        <v>7770108264187</v>
      </c>
      <c r="C11" s="1" t="s">
        <v>13</v>
      </c>
      <c r="D11" s="1" t="s">
        <v>9</v>
      </c>
      <c r="E11" s="1" t="s">
        <v>24</v>
      </c>
      <c r="F11" s="1">
        <v>4</v>
      </c>
      <c r="G11" s="1">
        <v>4</v>
      </c>
      <c r="H11" s="1">
        <v>12</v>
      </c>
    </row>
    <row r="12" spans="1:8" s="1" customFormat="1" x14ac:dyDescent="0.25">
      <c r="A12" s="1" t="str">
        <f>"2499366"</f>
        <v>2499366</v>
      </c>
      <c r="B12" s="2">
        <v>7770108267157</v>
      </c>
      <c r="C12" s="1" t="s">
        <v>25</v>
      </c>
      <c r="D12" s="1" t="s">
        <v>9</v>
      </c>
      <c r="E12" s="1" t="s">
        <v>26</v>
      </c>
      <c r="F12" s="1">
        <v>3</v>
      </c>
      <c r="G12" s="1">
        <v>3</v>
      </c>
      <c r="H12" s="1">
        <v>3</v>
      </c>
    </row>
    <row r="13" spans="1:8" s="1" customFormat="1" x14ac:dyDescent="0.25">
      <c r="A13" s="1" t="str">
        <f>"2499366"</f>
        <v>2499366</v>
      </c>
      <c r="B13" s="2">
        <v>7770108268420</v>
      </c>
      <c r="C13" s="1" t="s">
        <v>27</v>
      </c>
      <c r="D13" s="1" t="s">
        <v>9</v>
      </c>
      <c r="E13" s="1" t="s">
        <v>26</v>
      </c>
      <c r="F13" s="1">
        <v>1</v>
      </c>
      <c r="G13" s="1">
        <v>1</v>
      </c>
      <c r="H13" s="1">
        <v>2</v>
      </c>
    </row>
    <row r="14" spans="1:8" s="1" customFormat="1" x14ac:dyDescent="0.25">
      <c r="A14" s="1" t="str">
        <f>"2499366"</f>
        <v>2499366</v>
      </c>
      <c r="B14" s="2">
        <v>7770108269175</v>
      </c>
      <c r="C14" s="1" t="s">
        <v>28</v>
      </c>
      <c r="D14" s="1" t="s">
        <v>9</v>
      </c>
      <c r="E14" s="1" t="s">
        <v>24</v>
      </c>
      <c r="F14" s="1">
        <v>2</v>
      </c>
      <c r="G14" s="1">
        <v>2</v>
      </c>
      <c r="H14" s="1">
        <v>3</v>
      </c>
    </row>
    <row r="15" spans="1:8" s="1" customFormat="1" x14ac:dyDescent="0.25">
      <c r="A15" s="1" t="str">
        <f>"2499366"</f>
        <v>2499366</v>
      </c>
      <c r="B15" s="2">
        <v>7771011351025</v>
      </c>
      <c r="C15" s="1" t="s">
        <v>29</v>
      </c>
      <c r="D15" s="1" t="s">
        <v>9</v>
      </c>
      <c r="E15" s="1" t="s">
        <v>24</v>
      </c>
      <c r="F15" s="1">
        <v>1</v>
      </c>
      <c r="G15" s="1">
        <v>1</v>
      </c>
      <c r="H15" s="1">
        <v>2</v>
      </c>
    </row>
    <row r="16" spans="1:8" s="1" customFormat="1" x14ac:dyDescent="0.25">
      <c r="A16" s="1" t="str">
        <f>"2499368"</f>
        <v>2499368</v>
      </c>
      <c r="B16" s="2">
        <v>7770108269045</v>
      </c>
      <c r="C16" s="1" t="s">
        <v>30</v>
      </c>
      <c r="D16" s="1" t="s">
        <v>9</v>
      </c>
      <c r="E16" s="1" t="s">
        <v>31</v>
      </c>
      <c r="F16" s="1">
        <v>10</v>
      </c>
      <c r="G16" s="1">
        <v>10</v>
      </c>
      <c r="H16" s="1">
        <v>50</v>
      </c>
    </row>
    <row r="17" spans="1:8" s="1" customFormat="1" x14ac:dyDescent="0.25">
      <c r="A17" s="1" t="str">
        <f>"2499382"</f>
        <v>2499382</v>
      </c>
      <c r="B17" s="2">
        <v>7770108268918</v>
      </c>
      <c r="C17" s="1" t="s">
        <v>32</v>
      </c>
      <c r="D17" s="1" t="s">
        <v>9</v>
      </c>
      <c r="E17" s="1" t="s">
        <v>33</v>
      </c>
      <c r="F17" s="1">
        <v>1</v>
      </c>
      <c r="G17" s="1">
        <v>1</v>
      </c>
      <c r="H17" s="1">
        <v>4</v>
      </c>
    </row>
    <row r="18" spans="1:8" s="1" customFormat="1" x14ac:dyDescent="0.25">
      <c r="A18" s="1" t="str">
        <f t="shared" ref="A18:A23" si="0">"2499461"</f>
        <v>2499461</v>
      </c>
      <c r="B18" s="2">
        <v>7770108264187</v>
      </c>
      <c r="C18" s="1" t="s">
        <v>13</v>
      </c>
      <c r="D18" s="1" t="s">
        <v>9</v>
      </c>
      <c r="E18" s="1" t="s">
        <v>34</v>
      </c>
      <c r="F18" s="1">
        <v>4</v>
      </c>
      <c r="G18" s="1">
        <v>4</v>
      </c>
      <c r="H18" s="1">
        <v>12</v>
      </c>
    </row>
    <row r="19" spans="1:8" s="1" customFormat="1" x14ac:dyDescent="0.25">
      <c r="A19" s="1" t="str">
        <f t="shared" si="0"/>
        <v>2499461</v>
      </c>
      <c r="B19" s="2">
        <v>7770108265436</v>
      </c>
      <c r="C19" s="1" t="s">
        <v>35</v>
      </c>
      <c r="D19" s="1" t="s">
        <v>9</v>
      </c>
      <c r="E19" s="1" t="s">
        <v>34</v>
      </c>
      <c r="F19" s="1">
        <v>6</v>
      </c>
      <c r="G19" s="1">
        <v>6</v>
      </c>
      <c r="H19" s="1">
        <v>12</v>
      </c>
    </row>
    <row r="20" spans="1:8" s="1" customFormat="1" x14ac:dyDescent="0.25">
      <c r="A20" s="1" t="str">
        <f t="shared" si="0"/>
        <v>2499461</v>
      </c>
      <c r="B20" s="2">
        <v>7770108267935</v>
      </c>
      <c r="C20" s="1" t="s">
        <v>36</v>
      </c>
      <c r="D20" s="1" t="s">
        <v>9</v>
      </c>
      <c r="E20" s="1" t="s">
        <v>37</v>
      </c>
      <c r="F20" s="1">
        <v>2</v>
      </c>
      <c r="G20" s="1">
        <v>2</v>
      </c>
      <c r="H20" s="1">
        <v>1</v>
      </c>
    </row>
    <row r="21" spans="1:8" s="1" customFormat="1" x14ac:dyDescent="0.25">
      <c r="A21" s="1" t="str">
        <f t="shared" si="0"/>
        <v>2499461</v>
      </c>
      <c r="B21" s="2">
        <v>7770108268918</v>
      </c>
      <c r="C21" s="1" t="s">
        <v>32</v>
      </c>
      <c r="D21" s="1" t="s">
        <v>9</v>
      </c>
      <c r="E21" s="1" t="s">
        <v>38</v>
      </c>
      <c r="F21" s="1">
        <v>2</v>
      </c>
      <c r="G21" s="1">
        <v>2</v>
      </c>
      <c r="H21" s="1">
        <v>4</v>
      </c>
    </row>
    <row r="22" spans="1:8" s="1" customFormat="1" x14ac:dyDescent="0.25">
      <c r="A22" s="1" t="str">
        <f t="shared" si="0"/>
        <v>2499461</v>
      </c>
      <c r="B22" s="2">
        <v>7770108269182</v>
      </c>
      <c r="C22" s="1" t="s">
        <v>39</v>
      </c>
      <c r="D22" s="1" t="s">
        <v>9</v>
      </c>
      <c r="E22" s="1" t="s">
        <v>38</v>
      </c>
      <c r="F22" s="1">
        <v>1</v>
      </c>
      <c r="G22" s="1">
        <v>1</v>
      </c>
      <c r="H22" s="1">
        <v>2</v>
      </c>
    </row>
    <row r="23" spans="1:8" s="1" customFormat="1" x14ac:dyDescent="0.25">
      <c r="A23" s="1" t="str">
        <f t="shared" si="0"/>
        <v>2499461</v>
      </c>
      <c r="B23" s="2">
        <v>7771011350202</v>
      </c>
      <c r="C23" s="1" t="s">
        <v>11</v>
      </c>
      <c r="D23" s="1" t="s">
        <v>9</v>
      </c>
      <c r="E23" s="1" t="s">
        <v>38</v>
      </c>
      <c r="F23" s="1">
        <v>2</v>
      </c>
      <c r="G23" s="1">
        <v>2</v>
      </c>
      <c r="H23" s="1">
        <v>2</v>
      </c>
    </row>
    <row r="24" spans="1:8" s="1" customFormat="1" x14ac:dyDescent="0.25">
      <c r="A24" s="1" t="str">
        <f>"2499851"</f>
        <v>2499851</v>
      </c>
      <c r="B24" s="2">
        <v>7770108267935</v>
      </c>
      <c r="C24" s="1" t="s">
        <v>36</v>
      </c>
      <c r="D24" s="1" t="s">
        <v>9</v>
      </c>
      <c r="E24" s="1" t="s">
        <v>40</v>
      </c>
      <c r="F24" s="1">
        <v>2</v>
      </c>
      <c r="G24" s="1">
        <v>2</v>
      </c>
      <c r="H24" s="1">
        <v>1</v>
      </c>
    </row>
    <row r="25" spans="1:8" s="1" customFormat="1" x14ac:dyDescent="0.25">
      <c r="A25" s="1" t="str">
        <f>"2499858"</f>
        <v>2499858</v>
      </c>
      <c r="B25" s="2">
        <v>7770108268420</v>
      </c>
      <c r="C25" s="1" t="s">
        <v>27</v>
      </c>
      <c r="D25" s="1" t="s">
        <v>9</v>
      </c>
      <c r="E25" s="1" t="s">
        <v>41</v>
      </c>
      <c r="F25" s="1">
        <v>2</v>
      </c>
      <c r="G25" s="1">
        <v>2</v>
      </c>
      <c r="H25" s="1">
        <v>2</v>
      </c>
    </row>
    <row r="26" spans="1:8" s="1" customFormat="1" x14ac:dyDescent="0.25">
      <c r="A26" s="1" t="str">
        <f>"2499858"</f>
        <v>2499858</v>
      </c>
      <c r="B26" s="2">
        <v>7771011351025</v>
      </c>
      <c r="C26" s="1" t="s">
        <v>29</v>
      </c>
      <c r="D26" s="1" t="s">
        <v>9</v>
      </c>
      <c r="E26" s="1" t="s">
        <v>41</v>
      </c>
      <c r="F26" s="1">
        <v>2</v>
      </c>
      <c r="G26" s="1">
        <v>2</v>
      </c>
      <c r="H26" s="1">
        <v>2</v>
      </c>
    </row>
    <row r="27" spans="1:8" s="1" customFormat="1" x14ac:dyDescent="0.25">
      <c r="A27" s="1" t="str">
        <f>"2499864"</f>
        <v>2499864</v>
      </c>
      <c r="B27" s="2">
        <v>7770108269045</v>
      </c>
      <c r="C27" s="1" t="s">
        <v>30</v>
      </c>
      <c r="D27" s="1" t="s">
        <v>9</v>
      </c>
      <c r="E27" s="1" t="s">
        <v>42</v>
      </c>
      <c r="F27" s="1">
        <v>30</v>
      </c>
      <c r="G27" s="1">
        <v>30</v>
      </c>
      <c r="H27" s="1">
        <v>50</v>
      </c>
    </row>
    <row r="28" spans="1:8" s="1" customFormat="1" x14ac:dyDescent="0.25">
      <c r="A28" s="1" t="str">
        <f>"2499909"</f>
        <v>2499909</v>
      </c>
      <c r="B28" s="2">
        <v>7770108264187</v>
      </c>
      <c r="C28" s="1" t="s">
        <v>13</v>
      </c>
      <c r="D28" s="1" t="s">
        <v>9</v>
      </c>
      <c r="E28" s="1" t="s">
        <v>43</v>
      </c>
      <c r="F28" s="1">
        <v>12</v>
      </c>
      <c r="G28" s="1">
        <v>12</v>
      </c>
      <c r="H28" s="1">
        <v>12</v>
      </c>
    </row>
    <row r="29" spans="1:8" s="1" customFormat="1" x14ac:dyDescent="0.25">
      <c r="A29" s="1" t="str">
        <f>"2499909"</f>
        <v>2499909</v>
      </c>
      <c r="B29" s="2">
        <v>7770108268185</v>
      </c>
      <c r="C29" s="1" t="s">
        <v>15</v>
      </c>
      <c r="D29" s="1" t="s">
        <v>9</v>
      </c>
      <c r="E29" s="1" t="s">
        <v>44</v>
      </c>
      <c r="F29" s="1">
        <v>1</v>
      </c>
      <c r="G29" s="1">
        <v>1</v>
      </c>
      <c r="H29" s="1">
        <v>4</v>
      </c>
    </row>
    <row r="30" spans="1:8" s="1" customFormat="1" x14ac:dyDescent="0.25">
      <c r="A30" s="1" t="str">
        <f>"2499909"</f>
        <v>2499909</v>
      </c>
      <c r="B30" s="2">
        <v>7770108269182</v>
      </c>
      <c r="C30" s="1" t="s">
        <v>39</v>
      </c>
      <c r="D30" s="1" t="s">
        <v>9</v>
      </c>
      <c r="E30" s="1" t="s">
        <v>45</v>
      </c>
      <c r="F30" s="1">
        <v>1</v>
      </c>
      <c r="G30" s="1">
        <v>1</v>
      </c>
      <c r="H30" s="1">
        <v>2</v>
      </c>
    </row>
    <row r="31" spans="1:8" s="1" customFormat="1" x14ac:dyDescent="0.25">
      <c r="A31" s="1" t="str">
        <f>"2499924"</f>
        <v>2499924</v>
      </c>
      <c r="B31" s="2">
        <v>7770108263913</v>
      </c>
      <c r="C31" s="1" t="s">
        <v>17</v>
      </c>
      <c r="D31" s="1" t="s">
        <v>9</v>
      </c>
      <c r="E31" s="1" t="s">
        <v>46</v>
      </c>
      <c r="F31" s="1">
        <v>30</v>
      </c>
      <c r="G31" s="1">
        <v>30</v>
      </c>
      <c r="H31" s="1">
        <v>60</v>
      </c>
    </row>
    <row r="32" spans="1:8" s="1" customFormat="1" x14ac:dyDescent="0.25">
      <c r="A32" s="1" t="str">
        <f>"2499947"</f>
        <v>2499947</v>
      </c>
      <c r="B32" s="2">
        <v>7770108263913</v>
      </c>
      <c r="C32" s="1" t="s">
        <v>17</v>
      </c>
      <c r="D32" s="1" t="s">
        <v>9</v>
      </c>
      <c r="E32" s="1" t="s">
        <v>47</v>
      </c>
      <c r="F32" s="1">
        <v>30</v>
      </c>
      <c r="G32" s="1">
        <v>30</v>
      </c>
      <c r="H32" s="1">
        <v>60</v>
      </c>
    </row>
    <row r="33" spans="1:10" s="1" customFormat="1" x14ac:dyDescent="0.25">
      <c r="A33" s="1" t="str">
        <f>"2499947"</f>
        <v>2499947</v>
      </c>
      <c r="B33" s="2">
        <v>7770108268918</v>
      </c>
      <c r="C33" s="1" t="s">
        <v>32</v>
      </c>
      <c r="D33" s="1" t="s">
        <v>9</v>
      </c>
      <c r="E33" s="1" t="s">
        <v>48</v>
      </c>
      <c r="F33" s="1">
        <v>2</v>
      </c>
      <c r="G33" s="1">
        <v>2</v>
      </c>
      <c r="H33" s="1">
        <v>4</v>
      </c>
    </row>
    <row r="34" spans="1:10" s="1" customFormat="1" x14ac:dyDescent="0.25">
      <c r="A34" s="1" t="str">
        <f>"2499952"</f>
        <v>2499952</v>
      </c>
      <c r="B34" s="2">
        <v>7770108265436</v>
      </c>
      <c r="C34" s="1" t="s">
        <v>35</v>
      </c>
      <c r="D34" s="1" t="s">
        <v>9</v>
      </c>
      <c r="E34" s="1" t="s">
        <v>49</v>
      </c>
      <c r="F34" s="1">
        <v>12</v>
      </c>
      <c r="G34" s="1">
        <v>12</v>
      </c>
      <c r="H34" s="1">
        <v>12</v>
      </c>
    </row>
    <row r="35" spans="1:10" s="1" customFormat="1" x14ac:dyDescent="0.25">
      <c r="A35" s="1" t="str">
        <f>"2499955"</f>
        <v>2499955</v>
      </c>
      <c r="B35" s="2">
        <v>7770108267935</v>
      </c>
      <c r="C35" s="1" t="s">
        <v>36</v>
      </c>
      <c r="D35" s="1" t="s">
        <v>9</v>
      </c>
      <c r="E35" s="1" t="s">
        <v>50</v>
      </c>
      <c r="F35" s="1">
        <v>1</v>
      </c>
      <c r="G35" s="1">
        <v>1</v>
      </c>
      <c r="H35" s="1">
        <v>1</v>
      </c>
    </row>
    <row r="36" spans="1:10" s="1" customFormat="1" x14ac:dyDescent="0.25">
      <c r="A36" s="1" t="str">
        <f>"2499955"</f>
        <v>2499955</v>
      </c>
      <c r="B36" s="2">
        <v>7770108268918</v>
      </c>
      <c r="C36" s="1" t="s">
        <v>32</v>
      </c>
      <c r="D36" s="1" t="s">
        <v>9</v>
      </c>
      <c r="E36" s="1" t="s">
        <v>51</v>
      </c>
      <c r="F36" s="1">
        <v>1</v>
      </c>
      <c r="G36" s="1">
        <v>1</v>
      </c>
      <c r="H36" s="1">
        <v>4</v>
      </c>
    </row>
    <row r="37" spans="1:10" s="1" customFormat="1" x14ac:dyDescent="0.25">
      <c r="A37" s="1" t="str">
        <f>"2499955"</f>
        <v>2499955</v>
      </c>
      <c r="B37" s="2">
        <v>7770108269045</v>
      </c>
      <c r="C37" s="1" t="s">
        <v>30</v>
      </c>
      <c r="D37" s="1" t="s">
        <v>9</v>
      </c>
      <c r="E37" s="1" t="s">
        <v>51</v>
      </c>
      <c r="F37" s="1">
        <v>30</v>
      </c>
      <c r="G37" s="1">
        <v>30</v>
      </c>
      <c r="H37" s="1">
        <v>50</v>
      </c>
    </row>
    <row r="38" spans="1:10" s="1" customFormat="1" x14ac:dyDescent="0.25">
      <c r="A38" s="1" t="str">
        <f>"2499965"</f>
        <v>2499965</v>
      </c>
      <c r="B38" s="2">
        <v>7770108268185</v>
      </c>
      <c r="C38" s="1" t="s">
        <v>15</v>
      </c>
      <c r="D38" s="1" t="s">
        <v>9</v>
      </c>
      <c r="E38" s="1" t="s">
        <v>52</v>
      </c>
      <c r="F38" s="1">
        <v>1</v>
      </c>
      <c r="G38" s="1">
        <v>1</v>
      </c>
      <c r="H38" s="1">
        <v>4</v>
      </c>
    </row>
    <row r="39" spans="1:10" s="1" customFormat="1" x14ac:dyDescent="0.25">
      <c r="A39" s="1" t="str">
        <f>"2499965"</f>
        <v>2499965</v>
      </c>
      <c r="B39" s="2">
        <v>7770108269045</v>
      </c>
      <c r="C39" s="1" t="s">
        <v>30</v>
      </c>
      <c r="D39" s="1" t="s">
        <v>9</v>
      </c>
      <c r="E39" s="1" t="s">
        <v>53</v>
      </c>
      <c r="F39" s="1">
        <v>10</v>
      </c>
      <c r="G39" s="1">
        <v>10</v>
      </c>
      <c r="H39" s="1">
        <v>50</v>
      </c>
    </row>
    <row r="40" spans="1:10" s="1" customFormat="1" x14ac:dyDescent="0.25">
      <c r="A40" s="1" t="str">
        <f>"2499998"</f>
        <v>2499998</v>
      </c>
      <c r="B40" s="2">
        <v>7770108269182</v>
      </c>
      <c r="C40" s="1" t="s">
        <v>39</v>
      </c>
      <c r="D40" s="1" t="s">
        <v>9</v>
      </c>
      <c r="E40" s="1" t="s">
        <v>54</v>
      </c>
      <c r="F40" s="1">
        <v>1</v>
      </c>
      <c r="G40" s="1">
        <v>1</v>
      </c>
      <c r="H40" s="1">
        <v>2</v>
      </c>
    </row>
    <row r="41" spans="1:10" s="1" customFormat="1" x14ac:dyDescent="0.25">
      <c r="A41" s="1" t="str">
        <f>"2500195"</f>
        <v>2500195</v>
      </c>
      <c r="B41" s="2">
        <v>7770108265436</v>
      </c>
      <c r="C41" s="1" t="s">
        <v>35</v>
      </c>
      <c r="D41" s="1" t="s">
        <v>9</v>
      </c>
      <c r="E41" s="1" t="s">
        <v>55</v>
      </c>
      <c r="F41" s="1">
        <v>6</v>
      </c>
      <c r="G41" s="1">
        <v>6</v>
      </c>
      <c r="H41" s="1">
        <v>12</v>
      </c>
    </row>
    <row r="42" spans="1:10" s="1" customFormat="1" x14ac:dyDescent="0.25">
      <c r="A42" s="1" t="str">
        <f>"2500195"</f>
        <v>2500195</v>
      </c>
      <c r="B42" s="2">
        <v>7770108269175</v>
      </c>
      <c r="C42" s="1" t="s">
        <v>28</v>
      </c>
      <c r="D42" s="1" t="s">
        <v>9</v>
      </c>
      <c r="E42" s="1" t="s">
        <v>56</v>
      </c>
      <c r="F42" s="1">
        <v>3</v>
      </c>
      <c r="G42" s="1">
        <v>3</v>
      </c>
      <c r="H42" s="1">
        <v>3</v>
      </c>
    </row>
    <row r="43" spans="1:10" s="1" customFormat="1" x14ac:dyDescent="0.25">
      <c r="A43" s="1" t="str">
        <f>"2500195"</f>
        <v>2500195</v>
      </c>
      <c r="B43" s="2">
        <v>7770108269182</v>
      </c>
      <c r="C43" s="1" t="s">
        <v>39</v>
      </c>
      <c r="D43" s="1" t="s">
        <v>9</v>
      </c>
      <c r="E43" s="1" t="s">
        <v>56</v>
      </c>
      <c r="F43" s="1">
        <v>2</v>
      </c>
      <c r="G43" s="1">
        <v>2</v>
      </c>
      <c r="H43" s="1">
        <v>2</v>
      </c>
    </row>
    <row r="44" spans="1:10" s="1" customFormat="1" x14ac:dyDescent="0.25">
      <c r="A44" s="1" t="str">
        <f>"2500196"</f>
        <v>2500196</v>
      </c>
      <c r="B44" s="2">
        <v>7770108269298</v>
      </c>
      <c r="C44" s="1" t="s">
        <v>8</v>
      </c>
      <c r="D44" s="1" t="s">
        <v>9</v>
      </c>
      <c r="E44" s="1" t="s">
        <v>57</v>
      </c>
      <c r="F44" s="1">
        <v>35</v>
      </c>
      <c r="G44" s="1">
        <v>35</v>
      </c>
      <c r="H44" s="1">
        <v>70</v>
      </c>
    </row>
    <row r="45" spans="1:10" s="1" customFormat="1" x14ac:dyDescent="0.25">
      <c r="A45" s="1" t="s">
        <v>58</v>
      </c>
      <c r="B45" s="2">
        <v>7772314150032</v>
      </c>
      <c r="C45" s="1" t="s">
        <v>59</v>
      </c>
      <c r="D45" s="1" t="s">
        <v>9</v>
      </c>
      <c r="E45" s="1" t="s">
        <v>60</v>
      </c>
      <c r="F45" s="1">
        <v>12</v>
      </c>
      <c r="G45" s="1">
        <v>12</v>
      </c>
      <c r="H45" s="1">
        <v>12</v>
      </c>
    </row>
    <row r="46" spans="1:10" s="1" customFormat="1" x14ac:dyDescent="0.25">
      <c r="A46" s="1" t="s">
        <v>61</v>
      </c>
      <c r="B46" s="2">
        <v>7771805000030</v>
      </c>
      <c r="C46" s="1" t="s">
        <v>62</v>
      </c>
      <c r="D46" s="1" t="s">
        <v>9</v>
      </c>
      <c r="E46" s="1" t="s">
        <v>63</v>
      </c>
      <c r="F46" s="1">
        <v>22</v>
      </c>
      <c r="G46" s="1">
        <v>27</v>
      </c>
      <c r="H46" s="1">
        <v>10</v>
      </c>
    </row>
    <row r="47" spans="1:10" s="1" customFormat="1" x14ac:dyDescent="0.25">
      <c r="A47" s="1" t="s">
        <v>61</v>
      </c>
      <c r="B47" s="2">
        <v>7771805000061</v>
      </c>
      <c r="C47" s="1" t="s">
        <v>64</v>
      </c>
      <c r="D47" s="1" t="s">
        <v>9</v>
      </c>
      <c r="E47" s="1" t="s">
        <v>65</v>
      </c>
      <c r="F47" s="1">
        <v>0</v>
      </c>
      <c r="G47" s="1">
        <v>0</v>
      </c>
      <c r="H47" s="1">
        <v>8</v>
      </c>
    </row>
    <row r="48" spans="1:10" s="1" customFormat="1" x14ac:dyDescent="0.25">
      <c r="A48" s="1" t="s">
        <v>61</v>
      </c>
      <c r="B48" s="2">
        <v>7771805000207</v>
      </c>
      <c r="C48" s="1" t="s">
        <v>66</v>
      </c>
      <c r="D48" s="1" t="s">
        <v>9</v>
      </c>
      <c r="E48" s="1" t="s">
        <v>67</v>
      </c>
      <c r="F48" s="1">
        <v>24</v>
      </c>
      <c r="G48" s="1">
        <v>24</v>
      </c>
      <c r="H48" s="1">
        <v>28</v>
      </c>
      <c r="J48" s="1">
        <v>24</v>
      </c>
    </row>
    <row r="49" spans="1:10" s="1" customFormat="1" x14ac:dyDescent="0.25">
      <c r="A49" s="1" t="s">
        <v>68</v>
      </c>
      <c r="B49" s="2">
        <v>751087</v>
      </c>
      <c r="C49" s="1" t="s">
        <v>69</v>
      </c>
      <c r="D49" s="1" t="s">
        <v>9</v>
      </c>
      <c r="E49" s="1" t="s">
        <v>70</v>
      </c>
      <c r="F49" s="1">
        <v>10</v>
      </c>
      <c r="G49" s="1">
        <v>10</v>
      </c>
      <c r="H49" s="1">
        <v>5</v>
      </c>
    </row>
    <row r="50" spans="1:10" s="1" customFormat="1" x14ac:dyDescent="0.25">
      <c r="A50" s="1" t="s">
        <v>68</v>
      </c>
      <c r="B50" s="2">
        <v>7771805000207</v>
      </c>
      <c r="C50" s="1" t="s">
        <v>66</v>
      </c>
      <c r="D50" s="1" t="s">
        <v>9</v>
      </c>
      <c r="E50" s="1" t="s">
        <v>71</v>
      </c>
      <c r="F50" s="1">
        <v>28</v>
      </c>
      <c r="G50" s="1">
        <v>20</v>
      </c>
      <c r="H50" s="1">
        <v>28</v>
      </c>
      <c r="J50" s="1">
        <v>28</v>
      </c>
    </row>
    <row r="51" spans="1:10" x14ac:dyDescent="0.25">
      <c r="A51" t="s">
        <v>72</v>
      </c>
      <c r="B51" s="3">
        <v>106401</v>
      </c>
      <c r="C51" t="s">
        <v>73</v>
      </c>
      <c r="D51" t="s">
        <v>74</v>
      </c>
      <c r="E51" t="s">
        <v>75</v>
      </c>
      <c r="F51">
        <v>0</v>
      </c>
      <c r="G51">
        <v>0</v>
      </c>
      <c r="H51">
        <v>3607</v>
      </c>
    </row>
    <row r="52" spans="1:10" x14ac:dyDescent="0.25">
      <c r="A52" t="s">
        <v>76</v>
      </c>
      <c r="B52" s="3">
        <v>7730963250930</v>
      </c>
      <c r="C52" t="s">
        <v>77</v>
      </c>
      <c r="D52" t="s">
        <v>74</v>
      </c>
      <c r="E52" t="s">
        <v>78</v>
      </c>
      <c r="F52">
        <v>6</v>
      </c>
      <c r="G52">
        <v>6</v>
      </c>
      <c r="H52">
        <v>1</v>
      </c>
    </row>
    <row r="53" spans="1:10" x14ac:dyDescent="0.25">
      <c r="A53" t="s">
        <v>79</v>
      </c>
      <c r="B53" s="3">
        <v>7840036008723</v>
      </c>
      <c r="C53" t="s">
        <v>80</v>
      </c>
      <c r="D53" t="s">
        <v>74</v>
      </c>
      <c r="E53" t="s">
        <v>81</v>
      </c>
      <c r="F53">
        <v>0</v>
      </c>
      <c r="G53">
        <v>0</v>
      </c>
      <c r="H53">
        <v>90</v>
      </c>
    </row>
    <row r="54" spans="1:10" s="1" customFormat="1" x14ac:dyDescent="0.25">
      <c r="A54" s="1" t="s">
        <v>82</v>
      </c>
      <c r="B54" s="2">
        <v>7770108267157</v>
      </c>
      <c r="C54" s="1" t="s">
        <v>25</v>
      </c>
      <c r="D54" s="1" t="s">
        <v>74</v>
      </c>
      <c r="E54" s="1" t="s">
        <v>83</v>
      </c>
      <c r="F54" s="1">
        <v>42</v>
      </c>
      <c r="G54" s="1">
        <v>6</v>
      </c>
      <c r="H54" s="1">
        <v>3</v>
      </c>
    </row>
    <row r="55" spans="1:10" s="1" customFormat="1" x14ac:dyDescent="0.25">
      <c r="A55" s="1" t="s">
        <v>84</v>
      </c>
      <c r="B55" s="2">
        <v>7770108263913</v>
      </c>
      <c r="C55" s="1" t="s">
        <v>17</v>
      </c>
      <c r="D55" s="1" t="s">
        <v>74</v>
      </c>
      <c r="E55" s="1" t="s">
        <v>85</v>
      </c>
      <c r="F55" s="1">
        <v>0</v>
      </c>
      <c r="G55" s="1">
        <v>0</v>
      </c>
      <c r="H55" s="1">
        <v>60</v>
      </c>
    </row>
    <row r="56" spans="1:10" s="1" customFormat="1" x14ac:dyDescent="0.25">
      <c r="A56" s="1" t="s">
        <v>84</v>
      </c>
      <c r="B56" s="2">
        <v>7770108267935</v>
      </c>
      <c r="C56" s="1" t="s">
        <v>36</v>
      </c>
      <c r="D56" s="1" t="s">
        <v>74</v>
      </c>
      <c r="E56" s="1" t="s">
        <v>86</v>
      </c>
      <c r="F56" s="1">
        <v>77</v>
      </c>
      <c r="G56" s="1">
        <v>16</v>
      </c>
      <c r="H56" s="1">
        <v>1</v>
      </c>
    </row>
    <row r="57" spans="1:10" x14ac:dyDescent="0.25">
      <c r="A57" t="s">
        <v>87</v>
      </c>
      <c r="B57" s="3">
        <v>67238891190</v>
      </c>
      <c r="C57" t="s">
        <v>88</v>
      </c>
      <c r="D57" t="s">
        <v>74</v>
      </c>
      <c r="E57" t="s">
        <v>89</v>
      </c>
      <c r="F57">
        <v>1248</v>
      </c>
      <c r="G57">
        <v>274</v>
      </c>
      <c r="H57">
        <v>1</v>
      </c>
    </row>
    <row r="58" spans="1:10" s="1" customFormat="1" x14ac:dyDescent="0.25">
      <c r="A58" s="1" t="s">
        <v>90</v>
      </c>
      <c r="B58" s="2">
        <v>7770108269182</v>
      </c>
      <c r="C58" s="1" t="s">
        <v>39</v>
      </c>
      <c r="D58" s="1" t="s">
        <v>74</v>
      </c>
      <c r="E58" s="1" t="s">
        <v>91</v>
      </c>
      <c r="F58" s="1">
        <v>16</v>
      </c>
      <c r="G58" s="1">
        <v>5</v>
      </c>
      <c r="H58" s="1">
        <v>2</v>
      </c>
    </row>
    <row r="59" spans="1:10" x14ac:dyDescent="0.25">
      <c r="A59" t="s">
        <v>90</v>
      </c>
      <c r="B59" s="3">
        <v>7771011351025</v>
      </c>
      <c r="C59" t="s">
        <v>29</v>
      </c>
      <c r="D59" t="s">
        <v>74</v>
      </c>
      <c r="E59" t="s">
        <v>92</v>
      </c>
      <c r="F59">
        <v>14</v>
      </c>
      <c r="G59">
        <v>0</v>
      </c>
      <c r="H59">
        <v>2</v>
      </c>
    </row>
    <row r="60" spans="1:10" s="1" customFormat="1" x14ac:dyDescent="0.25">
      <c r="A60" s="1" t="s">
        <v>93</v>
      </c>
      <c r="B60" s="2">
        <v>7771011350202</v>
      </c>
      <c r="C60" s="1" t="s">
        <v>11</v>
      </c>
      <c r="D60" s="1" t="s">
        <v>74</v>
      </c>
      <c r="E60" s="1" t="s">
        <v>94</v>
      </c>
      <c r="F60" s="1">
        <v>0</v>
      </c>
      <c r="G60" s="1">
        <v>0</v>
      </c>
      <c r="H60" s="1">
        <v>2</v>
      </c>
    </row>
    <row r="61" spans="1:10" x14ac:dyDescent="0.25">
      <c r="A61" t="s">
        <v>95</v>
      </c>
      <c r="B61" s="3">
        <v>751323</v>
      </c>
      <c r="C61" t="s">
        <v>96</v>
      </c>
      <c r="D61" t="s">
        <v>74</v>
      </c>
      <c r="E61" t="s">
        <v>97</v>
      </c>
      <c r="F61">
        <v>100</v>
      </c>
      <c r="G61">
        <v>57</v>
      </c>
      <c r="H61">
        <v>57</v>
      </c>
    </row>
    <row r="62" spans="1:10" s="1" customFormat="1" x14ac:dyDescent="0.25">
      <c r="A62" s="1" t="s">
        <v>98</v>
      </c>
      <c r="B62" s="2">
        <v>7892840819187</v>
      </c>
      <c r="C62" s="1" t="s">
        <v>99</v>
      </c>
      <c r="D62" s="1" t="s">
        <v>74</v>
      </c>
      <c r="E62" s="1" t="s">
        <v>100</v>
      </c>
      <c r="F62" s="1">
        <v>6</v>
      </c>
      <c r="G62" s="1">
        <v>4</v>
      </c>
      <c r="H62" s="1">
        <v>95</v>
      </c>
    </row>
    <row r="63" spans="1:10" s="1" customFormat="1" x14ac:dyDescent="0.25">
      <c r="A63" s="1" t="s">
        <v>98</v>
      </c>
      <c r="B63" s="2">
        <v>7892840819514</v>
      </c>
      <c r="C63" s="1" t="s">
        <v>101</v>
      </c>
      <c r="D63" s="1" t="s">
        <v>74</v>
      </c>
      <c r="E63" s="1" t="s">
        <v>102</v>
      </c>
      <c r="F63" s="1">
        <v>72</v>
      </c>
      <c r="G63" s="1">
        <v>64</v>
      </c>
      <c r="H63" s="1">
        <v>6</v>
      </c>
    </row>
    <row r="64" spans="1:10" s="1" customFormat="1" x14ac:dyDescent="0.25">
      <c r="A64" s="1" t="s">
        <v>103</v>
      </c>
      <c r="B64" s="2">
        <v>7771011350202</v>
      </c>
      <c r="C64" s="1" t="s">
        <v>11</v>
      </c>
      <c r="D64" s="1" t="s">
        <v>74</v>
      </c>
      <c r="E64" s="1" t="s">
        <v>104</v>
      </c>
      <c r="F64" s="1">
        <v>11</v>
      </c>
      <c r="G64" s="1">
        <v>8</v>
      </c>
      <c r="H64" s="1">
        <v>2</v>
      </c>
    </row>
    <row r="65" spans="1:8" s="1" customFormat="1" x14ac:dyDescent="0.25">
      <c r="A65" s="1" t="s">
        <v>105</v>
      </c>
      <c r="B65" s="2">
        <v>7770108269045</v>
      </c>
      <c r="C65" s="1" t="s">
        <v>30</v>
      </c>
      <c r="D65" s="1" t="s">
        <v>74</v>
      </c>
      <c r="E65" s="1" t="s">
        <v>106</v>
      </c>
      <c r="F65" s="1">
        <v>910</v>
      </c>
      <c r="G65" s="1">
        <v>160</v>
      </c>
      <c r="H65" s="1">
        <v>50</v>
      </c>
    </row>
    <row r="66" spans="1:8" x14ac:dyDescent="0.25">
      <c r="A66" t="s">
        <v>107</v>
      </c>
      <c r="B66" s="3">
        <v>7771011351025</v>
      </c>
      <c r="C66" t="s">
        <v>29</v>
      </c>
      <c r="D66" t="s">
        <v>74</v>
      </c>
      <c r="E66" t="s">
        <v>108</v>
      </c>
      <c r="F66">
        <v>21</v>
      </c>
      <c r="G66">
        <v>17</v>
      </c>
      <c r="H66">
        <v>2</v>
      </c>
    </row>
    <row r="67" spans="1:8" s="1" customFormat="1" x14ac:dyDescent="0.25">
      <c r="A67" s="1" t="s">
        <v>109</v>
      </c>
      <c r="B67" s="2">
        <v>7770108269182</v>
      </c>
      <c r="C67" s="1" t="s">
        <v>39</v>
      </c>
      <c r="D67" s="1" t="s">
        <v>74</v>
      </c>
      <c r="E67" s="1" t="s">
        <v>110</v>
      </c>
      <c r="F67" s="1">
        <v>29</v>
      </c>
      <c r="G67" s="1">
        <v>26</v>
      </c>
      <c r="H67" s="1">
        <v>2</v>
      </c>
    </row>
    <row r="68" spans="1:8" s="1" customFormat="1" x14ac:dyDescent="0.25">
      <c r="A68" s="1" t="s">
        <v>111</v>
      </c>
      <c r="B68" s="2">
        <v>7770108265436</v>
      </c>
      <c r="C68" s="1" t="s">
        <v>35</v>
      </c>
      <c r="D68" s="1" t="s">
        <v>74</v>
      </c>
      <c r="E68" s="1" t="s">
        <v>112</v>
      </c>
      <c r="F68" s="1">
        <v>270</v>
      </c>
      <c r="G68" s="1">
        <v>144</v>
      </c>
      <c r="H68" s="1">
        <v>12</v>
      </c>
    </row>
    <row r="69" spans="1:8" s="1" customFormat="1" x14ac:dyDescent="0.25">
      <c r="A69" s="1" t="s">
        <v>113</v>
      </c>
      <c r="B69" s="2">
        <v>7770108267935</v>
      </c>
      <c r="C69" s="1" t="s">
        <v>36</v>
      </c>
      <c r="D69" s="1" t="s">
        <v>74</v>
      </c>
      <c r="E69" s="1" t="s">
        <v>114</v>
      </c>
      <c r="F69" s="1">
        <v>0</v>
      </c>
      <c r="G69" s="1">
        <v>0</v>
      </c>
      <c r="H69" s="1">
        <v>1</v>
      </c>
    </row>
    <row r="70" spans="1:8" s="1" customFormat="1" x14ac:dyDescent="0.25">
      <c r="A70" s="1" t="s">
        <v>113</v>
      </c>
      <c r="B70" s="2">
        <v>7770108268420</v>
      </c>
      <c r="C70" s="1" t="s">
        <v>27</v>
      </c>
      <c r="D70" s="1" t="s">
        <v>74</v>
      </c>
      <c r="E70" s="1" t="s">
        <v>115</v>
      </c>
      <c r="F70" s="1">
        <v>67</v>
      </c>
      <c r="G70" s="1">
        <v>55</v>
      </c>
      <c r="H70" s="1">
        <v>2</v>
      </c>
    </row>
    <row r="71" spans="1:8" s="1" customFormat="1" x14ac:dyDescent="0.25">
      <c r="A71" s="1" t="s">
        <v>116</v>
      </c>
      <c r="B71" s="2">
        <v>7770108269175</v>
      </c>
      <c r="C71" s="1" t="s">
        <v>28</v>
      </c>
      <c r="D71" s="1" t="s">
        <v>74</v>
      </c>
      <c r="E71" s="1" t="s">
        <v>117</v>
      </c>
      <c r="F71" s="1">
        <v>80</v>
      </c>
      <c r="G71" s="1">
        <v>52</v>
      </c>
      <c r="H71" s="1">
        <v>3</v>
      </c>
    </row>
    <row r="72" spans="1:8" s="1" customFormat="1" x14ac:dyDescent="0.25">
      <c r="A72" s="1" t="s">
        <v>118</v>
      </c>
      <c r="B72" s="2">
        <v>7770108263913</v>
      </c>
      <c r="C72" s="1" t="s">
        <v>17</v>
      </c>
      <c r="D72" s="1" t="s">
        <v>74</v>
      </c>
      <c r="E72" s="1" t="s">
        <v>119</v>
      </c>
      <c r="F72" s="1">
        <v>1140</v>
      </c>
      <c r="G72" s="1">
        <v>840</v>
      </c>
      <c r="H72" s="1">
        <v>60</v>
      </c>
    </row>
    <row r="73" spans="1:8" s="1" customFormat="1" x14ac:dyDescent="0.25">
      <c r="A73" s="1" t="s">
        <v>118</v>
      </c>
      <c r="B73" s="2">
        <v>7770108264187</v>
      </c>
      <c r="C73" s="1" t="s">
        <v>13</v>
      </c>
      <c r="D73" s="1" t="s">
        <v>74</v>
      </c>
      <c r="E73" s="1" t="s">
        <v>120</v>
      </c>
      <c r="F73" s="1">
        <v>104</v>
      </c>
      <c r="G73" s="1">
        <v>12</v>
      </c>
      <c r="H73" s="1">
        <v>12</v>
      </c>
    </row>
    <row r="74" spans="1:8" x14ac:dyDescent="0.25">
      <c r="A74" t="s">
        <v>121</v>
      </c>
      <c r="B74" s="3">
        <v>7891010256449</v>
      </c>
      <c r="C74" t="s">
        <v>122</v>
      </c>
      <c r="D74" t="s">
        <v>74</v>
      </c>
      <c r="E74" t="s">
        <v>123</v>
      </c>
      <c r="F74">
        <v>150</v>
      </c>
      <c r="G74">
        <v>148</v>
      </c>
      <c r="H74">
        <v>44</v>
      </c>
    </row>
    <row r="75" spans="1:8" x14ac:dyDescent="0.25">
      <c r="A75" t="s">
        <v>124</v>
      </c>
      <c r="B75" s="3">
        <v>7779970480381</v>
      </c>
      <c r="C75" t="s">
        <v>125</v>
      </c>
      <c r="D75" t="s">
        <v>74</v>
      </c>
      <c r="E75" t="s">
        <v>126</v>
      </c>
      <c r="F75">
        <v>0</v>
      </c>
      <c r="G75">
        <v>0</v>
      </c>
      <c r="H75">
        <v>1</v>
      </c>
    </row>
    <row r="76" spans="1:8" x14ac:dyDescent="0.25">
      <c r="A76" t="s">
        <v>127</v>
      </c>
      <c r="B76" s="3">
        <v>4022679142306</v>
      </c>
      <c r="C76" t="s">
        <v>128</v>
      </c>
      <c r="D76" t="s">
        <v>74</v>
      </c>
      <c r="E76" t="s">
        <v>129</v>
      </c>
      <c r="F76">
        <v>3848</v>
      </c>
      <c r="G76">
        <v>3283</v>
      </c>
      <c r="H76">
        <v>3</v>
      </c>
    </row>
    <row r="77" spans="1:8" x14ac:dyDescent="0.25">
      <c r="A77" t="s">
        <v>130</v>
      </c>
      <c r="B77" s="3">
        <v>4030539164764</v>
      </c>
      <c r="C77" t="s">
        <v>131</v>
      </c>
      <c r="D77" t="s">
        <v>74</v>
      </c>
      <c r="E77" t="s">
        <v>132</v>
      </c>
      <c r="F77">
        <v>110</v>
      </c>
      <c r="G77">
        <v>95</v>
      </c>
      <c r="H77">
        <v>24</v>
      </c>
    </row>
    <row r="78" spans="1:8" x14ac:dyDescent="0.25">
      <c r="A78" t="s">
        <v>133</v>
      </c>
      <c r="B78" s="3">
        <v>701036</v>
      </c>
      <c r="C78" t="s">
        <v>134</v>
      </c>
      <c r="D78" t="s">
        <v>74</v>
      </c>
      <c r="E78" t="s">
        <v>135</v>
      </c>
      <c r="F78">
        <v>3000</v>
      </c>
      <c r="G78">
        <v>3000</v>
      </c>
      <c r="H78">
        <v>966</v>
      </c>
    </row>
    <row r="79" spans="1:8" x14ac:dyDescent="0.25">
      <c r="A79" t="s">
        <v>136</v>
      </c>
      <c r="B79" s="3">
        <v>4030539164764</v>
      </c>
      <c r="C79" t="s">
        <v>131</v>
      </c>
      <c r="D79" t="s">
        <v>74</v>
      </c>
      <c r="E79" t="s">
        <v>137</v>
      </c>
      <c r="F79">
        <v>24</v>
      </c>
      <c r="G79">
        <v>15</v>
      </c>
      <c r="H79">
        <v>24</v>
      </c>
    </row>
    <row r="80" spans="1:8" x14ac:dyDescent="0.25">
      <c r="A80" t="s">
        <v>138</v>
      </c>
      <c r="B80" s="3">
        <v>7703153028305</v>
      </c>
      <c r="C80" t="s">
        <v>139</v>
      </c>
      <c r="D80" t="s">
        <v>74</v>
      </c>
      <c r="E80" t="s">
        <v>140</v>
      </c>
      <c r="F80">
        <v>16</v>
      </c>
      <c r="G80">
        <v>14</v>
      </c>
      <c r="H80">
        <v>16</v>
      </c>
    </row>
    <row r="81" spans="1:8" x14ac:dyDescent="0.25">
      <c r="A81" t="s">
        <v>141</v>
      </c>
      <c r="B81" s="3">
        <v>701036</v>
      </c>
      <c r="C81" t="s">
        <v>134</v>
      </c>
      <c r="D81" t="s">
        <v>74</v>
      </c>
      <c r="E81" t="s">
        <v>142</v>
      </c>
      <c r="F81">
        <v>4000</v>
      </c>
      <c r="G81">
        <v>4000</v>
      </c>
      <c r="H81">
        <v>966</v>
      </c>
    </row>
    <row r="82" spans="1:8" x14ac:dyDescent="0.25">
      <c r="A82" t="s">
        <v>143</v>
      </c>
      <c r="B82" s="3">
        <v>7779970830513</v>
      </c>
      <c r="C82" t="s">
        <v>144</v>
      </c>
      <c r="D82" t="s">
        <v>74</v>
      </c>
      <c r="E82" t="s">
        <v>145</v>
      </c>
      <c r="F82">
        <v>14</v>
      </c>
      <c r="G82">
        <v>14</v>
      </c>
      <c r="H82">
        <v>3</v>
      </c>
    </row>
    <row r="83" spans="1:8" s="1" customFormat="1" x14ac:dyDescent="0.25">
      <c r="A83" s="1" t="s">
        <v>146</v>
      </c>
      <c r="B83" s="2">
        <v>7500810023754</v>
      </c>
      <c r="C83" s="1" t="s">
        <v>147</v>
      </c>
      <c r="D83" s="1" t="s">
        <v>148</v>
      </c>
      <c r="E83" s="1" t="s">
        <v>149</v>
      </c>
      <c r="F83" s="1">
        <v>2</v>
      </c>
      <c r="G83" s="1">
        <v>2</v>
      </c>
      <c r="H83" s="1">
        <v>2</v>
      </c>
    </row>
    <row r="84" spans="1:8" s="1" customFormat="1" x14ac:dyDescent="0.25">
      <c r="A84" s="1" t="s">
        <v>146</v>
      </c>
      <c r="B84" s="2">
        <v>7500810023761</v>
      </c>
      <c r="C84" s="1" t="s">
        <v>150</v>
      </c>
      <c r="D84" s="1" t="s">
        <v>148</v>
      </c>
      <c r="E84" s="1" t="s">
        <v>151</v>
      </c>
      <c r="F84" s="1">
        <v>13</v>
      </c>
      <c r="G84" s="1">
        <v>13</v>
      </c>
      <c r="H84" s="1">
        <v>13</v>
      </c>
    </row>
    <row r="85" spans="1:8" s="1" customFormat="1" x14ac:dyDescent="0.25">
      <c r="A85" s="1" t="s">
        <v>146</v>
      </c>
      <c r="B85" s="2">
        <v>7500810023778</v>
      </c>
      <c r="C85" s="1" t="s">
        <v>152</v>
      </c>
      <c r="D85" s="1" t="s">
        <v>148</v>
      </c>
      <c r="E85" s="1" t="s">
        <v>153</v>
      </c>
      <c r="F85" s="1">
        <v>4</v>
      </c>
      <c r="G85" s="1">
        <v>2</v>
      </c>
      <c r="H85" s="1">
        <v>4</v>
      </c>
    </row>
    <row r="86" spans="1:8" s="1" customFormat="1" x14ac:dyDescent="0.25">
      <c r="A86" s="1" t="s">
        <v>146</v>
      </c>
      <c r="B86" s="2">
        <v>7771621380170</v>
      </c>
      <c r="C86" s="1" t="s">
        <v>154</v>
      </c>
      <c r="D86" s="1" t="s">
        <v>148</v>
      </c>
      <c r="E86" s="1" t="s">
        <v>155</v>
      </c>
      <c r="F86" s="1">
        <v>48</v>
      </c>
      <c r="G86" s="1">
        <v>12</v>
      </c>
      <c r="H86" s="1">
        <v>12</v>
      </c>
    </row>
    <row r="87" spans="1:8" s="1" customFormat="1" x14ac:dyDescent="0.25">
      <c r="A87" s="1" t="s">
        <v>146</v>
      </c>
      <c r="B87" s="2">
        <v>7771621380200</v>
      </c>
      <c r="C87" s="1" t="s">
        <v>156</v>
      </c>
      <c r="D87" s="1" t="s">
        <v>148</v>
      </c>
      <c r="E87" s="1" t="s">
        <v>157</v>
      </c>
      <c r="F87" s="1">
        <v>174</v>
      </c>
      <c r="G87" s="1">
        <v>174</v>
      </c>
      <c r="H87" s="1">
        <v>174</v>
      </c>
    </row>
    <row r="88" spans="1:8" s="1" customFormat="1" x14ac:dyDescent="0.25">
      <c r="A88" s="1" t="s">
        <v>146</v>
      </c>
      <c r="B88" s="2">
        <v>7771621380224</v>
      </c>
      <c r="C88" s="1" t="s">
        <v>158</v>
      </c>
      <c r="D88" s="1" t="s">
        <v>148</v>
      </c>
      <c r="E88" s="1" t="s">
        <v>159</v>
      </c>
      <c r="F88" s="1">
        <v>291</v>
      </c>
      <c r="G88" s="1">
        <v>291</v>
      </c>
      <c r="H88" s="1">
        <v>282</v>
      </c>
    </row>
    <row r="89" spans="1:8" s="1" customFormat="1" x14ac:dyDescent="0.25">
      <c r="A89" s="1" t="s">
        <v>146</v>
      </c>
      <c r="B89" s="2">
        <v>7771621380378</v>
      </c>
      <c r="C89" s="1" t="s">
        <v>160</v>
      </c>
      <c r="D89" s="1" t="s">
        <v>148</v>
      </c>
      <c r="E89" s="1" t="s">
        <v>161</v>
      </c>
      <c r="F89" s="1">
        <v>361</v>
      </c>
      <c r="G89" s="1">
        <v>361</v>
      </c>
      <c r="H89" s="1">
        <v>355</v>
      </c>
    </row>
    <row r="90" spans="1:8" s="1" customFormat="1" x14ac:dyDescent="0.25">
      <c r="A90" s="1" t="s">
        <v>146</v>
      </c>
      <c r="B90" s="2">
        <v>7771621380675</v>
      </c>
      <c r="C90" s="1" t="s">
        <v>162</v>
      </c>
      <c r="D90" s="1" t="s">
        <v>148</v>
      </c>
      <c r="E90" s="1" t="s">
        <v>163</v>
      </c>
      <c r="F90" s="1">
        <v>1</v>
      </c>
      <c r="G90" s="1">
        <v>1</v>
      </c>
      <c r="H90" s="1">
        <v>1</v>
      </c>
    </row>
    <row r="91" spans="1:8" s="1" customFormat="1" x14ac:dyDescent="0.25">
      <c r="A91" s="1" t="s">
        <v>146</v>
      </c>
      <c r="B91" s="2">
        <v>7771621380705</v>
      </c>
      <c r="C91" s="1" t="s">
        <v>164</v>
      </c>
      <c r="D91" s="1" t="s">
        <v>148</v>
      </c>
      <c r="E91" s="1" t="s">
        <v>165</v>
      </c>
      <c r="F91" s="1">
        <v>36</v>
      </c>
      <c r="G91" s="1">
        <v>36</v>
      </c>
      <c r="H91" s="1">
        <v>30</v>
      </c>
    </row>
    <row r="92" spans="1:8" s="1" customFormat="1" x14ac:dyDescent="0.25">
      <c r="A92" s="1" t="s">
        <v>146</v>
      </c>
      <c r="B92" s="2">
        <v>7778608490075</v>
      </c>
      <c r="C92" s="1" t="s">
        <v>166</v>
      </c>
      <c r="D92" s="1" t="s">
        <v>148</v>
      </c>
      <c r="E92" s="1" t="s">
        <v>167</v>
      </c>
      <c r="F92" s="1">
        <v>70</v>
      </c>
      <c r="G92" s="1">
        <v>70</v>
      </c>
      <c r="H92" s="1">
        <v>67</v>
      </c>
    </row>
    <row r="93" spans="1:8" s="1" customFormat="1" x14ac:dyDescent="0.25">
      <c r="A93" s="1" t="s">
        <v>146</v>
      </c>
      <c r="B93" s="2">
        <v>830207100001</v>
      </c>
      <c r="C93" s="1" t="s">
        <v>168</v>
      </c>
      <c r="D93" s="1" t="s">
        <v>148</v>
      </c>
      <c r="E93" s="1" t="s">
        <v>169</v>
      </c>
      <c r="F93" s="1">
        <v>149</v>
      </c>
      <c r="G93" s="1">
        <v>149</v>
      </c>
      <c r="H93" s="1">
        <v>143</v>
      </c>
    </row>
    <row r="94" spans="1:8" s="1" customFormat="1" x14ac:dyDescent="0.25">
      <c r="A94" s="1" t="s">
        <v>170</v>
      </c>
      <c r="B94" s="2">
        <v>106401</v>
      </c>
      <c r="C94" s="1" t="s">
        <v>73</v>
      </c>
      <c r="D94" s="1" t="s">
        <v>148</v>
      </c>
      <c r="E94" s="1" t="s">
        <v>171</v>
      </c>
      <c r="F94" s="1">
        <v>3507</v>
      </c>
      <c r="G94" s="1">
        <v>2907</v>
      </c>
      <c r="H94" s="1">
        <v>3607</v>
      </c>
    </row>
    <row r="95" spans="1:8" s="1" customFormat="1" x14ac:dyDescent="0.25">
      <c r="A95" s="1" t="s">
        <v>172</v>
      </c>
      <c r="B95" s="2">
        <v>7892840819187</v>
      </c>
      <c r="C95" s="1" t="s">
        <v>99</v>
      </c>
      <c r="D95" s="1" t="s">
        <v>148</v>
      </c>
      <c r="E95" s="1" t="s">
        <v>173</v>
      </c>
      <c r="F95" s="1">
        <v>94</v>
      </c>
      <c r="G95" s="1">
        <v>85</v>
      </c>
      <c r="H95" s="1">
        <v>95</v>
      </c>
    </row>
    <row r="96" spans="1:8" s="1" customFormat="1" x14ac:dyDescent="0.25">
      <c r="A96" s="1" t="s">
        <v>172</v>
      </c>
      <c r="B96" s="2">
        <v>7892840819514</v>
      </c>
      <c r="C96" s="1" t="s">
        <v>101</v>
      </c>
      <c r="D96" s="1" t="s">
        <v>148</v>
      </c>
      <c r="E96" s="1" t="s">
        <v>174</v>
      </c>
      <c r="F96" s="1">
        <v>6</v>
      </c>
      <c r="G96" s="1">
        <v>2</v>
      </c>
      <c r="H96" s="1">
        <v>6</v>
      </c>
    </row>
    <row r="97" spans="1:8" s="1" customFormat="1" x14ac:dyDescent="0.25">
      <c r="A97" s="1" t="s">
        <v>175</v>
      </c>
      <c r="B97" s="2">
        <v>7771817640040</v>
      </c>
      <c r="C97" s="1" t="s">
        <v>176</v>
      </c>
      <c r="D97" s="1" t="s">
        <v>148</v>
      </c>
      <c r="E97" s="1" t="s">
        <v>177</v>
      </c>
      <c r="F97" s="1">
        <v>1</v>
      </c>
      <c r="G97" s="1">
        <v>1</v>
      </c>
      <c r="H97" s="1">
        <v>1</v>
      </c>
    </row>
    <row r="98" spans="1:8" s="1" customFormat="1" x14ac:dyDescent="0.25">
      <c r="A98" s="1" t="s">
        <v>175</v>
      </c>
      <c r="B98" s="2">
        <v>7771817640088</v>
      </c>
      <c r="C98" s="1" t="s">
        <v>178</v>
      </c>
      <c r="D98" s="1" t="s">
        <v>148</v>
      </c>
      <c r="E98" s="1" t="s">
        <v>179</v>
      </c>
      <c r="F98" s="1">
        <v>521</v>
      </c>
      <c r="G98" s="1">
        <v>519</v>
      </c>
      <c r="H98" s="1">
        <v>509</v>
      </c>
    </row>
    <row r="99" spans="1:8" s="1" customFormat="1" x14ac:dyDescent="0.25">
      <c r="A99" s="1" t="s">
        <v>180</v>
      </c>
      <c r="B99" s="2">
        <v>106401</v>
      </c>
      <c r="C99" s="1" t="s">
        <v>73</v>
      </c>
      <c r="D99" s="1" t="s">
        <v>180</v>
      </c>
      <c r="E99" s="1" t="s">
        <v>181</v>
      </c>
      <c r="F99" s="1">
        <v>0</v>
      </c>
      <c r="G99" s="1">
        <v>0</v>
      </c>
      <c r="H99" s="1">
        <v>3607</v>
      </c>
    </row>
    <row r="100" spans="1:8" x14ac:dyDescent="0.25">
      <c r="A100" t="s">
        <v>180</v>
      </c>
      <c r="B100" s="3">
        <v>67238891190</v>
      </c>
      <c r="C100" t="s">
        <v>88</v>
      </c>
      <c r="D100" t="s">
        <v>180</v>
      </c>
      <c r="E100" t="s">
        <v>182</v>
      </c>
      <c r="F100">
        <v>0</v>
      </c>
      <c r="G100">
        <v>1</v>
      </c>
      <c r="H100">
        <v>1</v>
      </c>
    </row>
    <row r="101" spans="1:8" x14ac:dyDescent="0.25">
      <c r="A101" t="s">
        <v>180</v>
      </c>
      <c r="B101" s="3">
        <v>700607</v>
      </c>
      <c r="C101" t="s">
        <v>183</v>
      </c>
      <c r="D101" t="s">
        <v>180</v>
      </c>
      <c r="E101" t="s">
        <v>184</v>
      </c>
      <c r="F101">
        <v>0</v>
      </c>
      <c r="G101">
        <v>0</v>
      </c>
      <c r="H101">
        <v>3</v>
      </c>
    </row>
    <row r="102" spans="1:8" x14ac:dyDescent="0.25">
      <c r="A102" t="s">
        <v>180</v>
      </c>
      <c r="B102" s="3">
        <v>745073</v>
      </c>
      <c r="C102" t="s">
        <v>185</v>
      </c>
      <c r="D102" t="s">
        <v>180</v>
      </c>
      <c r="E102" t="s">
        <v>186</v>
      </c>
      <c r="F102">
        <v>0</v>
      </c>
      <c r="G102">
        <v>36</v>
      </c>
      <c r="H102">
        <v>40</v>
      </c>
    </row>
    <row r="103" spans="1:8" s="1" customFormat="1" x14ac:dyDescent="0.25">
      <c r="A103" s="1" t="s">
        <v>180</v>
      </c>
      <c r="B103" s="2">
        <v>7500810023754</v>
      </c>
      <c r="C103" s="1" t="s">
        <v>147</v>
      </c>
      <c r="D103" s="1" t="s">
        <v>180</v>
      </c>
      <c r="E103" s="1" t="s">
        <v>187</v>
      </c>
      <c r="F103" s="1">
        <v>0</v>
      </c>
      <c r="G103" s="1">
        <v>0</v>
      </c>
      <c r="H103" s="1">
        <v>2</v>
      </c>
    </row>
    <row r="104" spans="1:8" s="1" customFormat="1" x14ac:dyDescent="0.25">
      <c r="A104" s="1" t="s">
        <v>180</v>
      </c>
      <c r="B104" s="2">
        <v>7500810023761</v>
      </c>
      <c r="C104" s="1" t="s">
        <v>150</v>
      </c>
      <c r="D104" s="1" t="s">
        <v>180</v>
      </c>
      <c r="E104" s="1" t="s">
        <v>188</v>
      </c>
      <c r="F104" s="1">
        <v>0</v>
      </c>
      <c r="G104" s="1">
        <v>2</v>
      </c>
      <c r="H104" s="1">
        <v>13</v>
      </c>
    </row>
    <row r="105" spans="1:8" s="1" customFormat="1" x14ac:dyDescent="0.25">
      <c r="A105" s="1" t="s">
        <v>180</v>
      </c>
      <c r="B105" s="2">
        <v>7500810023778</v>
      </c>
      <c r="C105" s="1" t="s">
        <v>152</v>
      </c>
      <c r="D105" s="1" t="s">
        <v>180</v>
      </c>
      <c r="E105" s="1" t="s">
        <v>189</v>
      </c>
      <c r="F105" s="1">
        <v>0</v>
      </c>
      <c r="G105" s="1">
        <v>1</v>
      </c>
      <c r="H105" s="1">
        <v>4</v>
      </c>
    </row>
    <row r="106" spans="1:8" x14ac:dyDescent="0.25">
      <c r="A106" t="s">
        <v>180</v>
      </c>
      <c r="B106" s="3">
        <v>7730381003163</v>
      </c>
      <c r="C106" t="s">
        <v>190</v>
      </c>
      <c r="D106" t="s">
        <v>180</v>
      </c>
      <c r="E106" t="s">
        <v>191</v>
      </c>
      <c r="F106">
        <v>0</v>
      </c>
      <c r="G106">
        <v>30</v>
      </c>
      <c r="H106">
        <v>30</v>
      </c>
    </row>
    <row r="107" spans="1:8" x14ac:dyDescent="0.25">
      <c r="A107" t="s">
        <v>180</v>
      </c>
      <c r="B107" s="3">
        <v>7730963250084</v>
      </c>
      <c r="C107" t="s">
        <v>192</v>
      </c>
      <c r="D107" t="s">
        <v>180</v>
      </c>
      <c r="E107" t="s">
        <v>193</v>
      </c>
      <c r="F107">
        <v>0</v>
      </c>
      <c r="G107">
        <v>1</v>
      </c>
      <c r="H107">
        <v>1</v>
      </c>
    </row>
    <row r="108" spans="1:8" x14ac:dyDescent="0.25">
      <c r="A108" t="s">
        <v>180</v>
      </c>
      <c r="B108" s="3">
        <v>7750168148962</v>
      </c>
      <c r="C108" t="s">
        <v>194</v>
      </c>
      <c r="D108" t="s">
        <v>180</v>
      </c>
      <c r="E108" t="s">
        <v>195</v>
      </c>
      <c r="F108">
        <v>0</v>
      </c>
      <c r="G108">
        <v>7</v>
      </c>
      <c r="H108">
        <v>6</v>
      </c>
    </row>
    <row r="109" spans="1:8" s="1" customFormat="1" x14ac:dyDescent="0.25">
      <c r="A109" s="1" t="s">
        <v>180</v>
      </c>
      <c r="B109" s="2">
        <v>7771621380378</v>
      </c>
      <c r="C109" s="1" t="s">
        <v>160</v>
      </c>
      <c r="D109" s="1" t="s">
        <v>180</v>
      </c>
      <c r="E109" s="1" t="s">
        <v>196</v>
      </c>
      <c r="F109" s="1">
        <v>0</v>
      </c>
      <c r="G109" s="1">
        <v>1</v>
      </c>
      <c r="H109" s="1">
        <v>355</v>
      </c>
    </row>
    <row r="110" spans="1:8" s="1" customFormat="1" x14ac:dyDescent="0.25">
      <c r="A110" s="1" t="s">
        <v>180</v>
      </c>
      <c r="B110" s="2">
        <v>7771621380675</v>
      </c>
      <c r="C110" s="1" t="s">
        <v>162</v>
      </c>
      <c r="D110" s="1" t="s">
        <v>180</v>
      </c>
      <c r="E110" s="1" t="s">
        <v>197</v>
      </c>
      <c r="F110" s="1">
        <v>0</v>
      </c>
      <c r="G110" s="1">
        <v>0</v>
      </c>
      <c r="H110" s="1">
        <v>1</v>
      </c>
    </row>
    <row r="111" spans="1:8" s="1" customFormat="1" x14ac:dyDescent="0.25">
      <c r="A111" s="1" t="s">
        <v>180</v>
      </c>
      <c r="B111" s="2">
        <v>7771621380705</v>
      </c>
      <c r="C111" s="1" t="s">
        <v>164</v>
      </c>
      <c r="D111" s="1" t="s">
        <v>180</v>
      </c>
      <c r="E111" s="1" t="s">
        <v>198</v>
      </c>
      <c r="F111" s="1">
        <v>0</v>
      </c>
      <c r="G111" s="1">
        <v>0</v>
      </c>
      <c r="H111" s="1">
        <v>30</v>
      </c>
    </row>
    <row r="112" spans="1:8" x14ac:dyDescent="0.25">
      <c r="A112" t="s">
        <v>180</v>
      </c>
      <c r="B112" s="3">
        <v>7771802001573</v>
      </c>
      <c r="C112" t="s">
        <v>199</v>
      </c>
      <c r="D112" t="s">
        <v>180</v>
      </c>
      <c r="E112" t="s">
        <v>200</v>
      </c>
      <c r="F112">
        <v>0</v>
      </c>
      <c r="G112">
        <v>0</v>
      </c>
      <c r="H112">
        <v>131</v>
      </c>
    </row>
    <row r="113" spans="1:8" s="1" customFormat="1" x14ac:dyDescent="0.25">
      <c r="A113" s="1" t="s">
        <v>180</v>
      </c>
      <c r="B113" s="2">
        <v>7771805000030</v>
      </c>
      <c r="C113" s="1" t="s">
        <v>62</v>
      </c>
      <c r="D113" s="1" t="s">
        <v>180</v>
      </c>
      <c r="E113" s="1" t="s">
        <v>201</v>
      </c>
      <c r="F113" s="1">
        <v>0</v>
      </c>
      <c r="G113" s="1">
        <v>4</v>
      </c>
      <c r="H113" s="1">
        <v>10</v>
      </c>
    </row>
    <row r="114" spans="1:8" s="1" customFormat="1" x14ac:dyDescent="0.25">
      <c r="A114" s="1" t="s">
        <v>180</v>
      </c>
      <c r="B114" s="2">
        <v>7771817640088</v>
      </c>
      <c r="C114" s="1" t="s">
        <v>178</v>
      </c>
      <c r="D114" s="1" t="s">
        <v>180</v>
      </c>
      <c r="E114" s="1" t="s">
        <v>202</v>
      </c>
      <c r="F114" s="1">
        <v>0</v>
      </c>
      <c r="G114" s="1">
        <v>0</v>
      </c>
      <c r="H114" s="1">
        <v>509</v>
      </c>
    </row>
    <row r="115" spans="1:8" s="1" customFormat="1" x14ac:dyDescent="0.25">
      <c r="A115" s="1" t="s">
        <v>180</v>
      </c>
      <c r="B115" s="2">
        <v>7778608490075</v>
      </c>
      <c r="C115" s="1" t="s">
        <v>166</v>
      </c>
      <c r="D115" s="1" t="s">
        <v>180</v>
      </c>
      <c r="E115" s="1" t="s">
        <v>203</v>
      </c>
      <c r="F115" s="1">
        <v>0</v>
      </c>
      <c r="G115" s="1">
        <v>6</v>
      </c>
      <c r="H115" s="1">
        <v>67</v>
      </c>
    </row>
    <row r="116" spans="1:8" s="1" customFormat="1" x14ac:dyDescent="0.25">
      <c r="A116" s="1" t="s">
        <v>180</v>
      </c>
      <c r="B116" s="2">
        <v>7779970480381</v>
      </c>
      <c r="C116" s="1" t="s">
        <v>125</v>
      </c>
      <c r="D116" s="1" t="s">
        <v>180</v>
      </c>
      <c r="E116" s="1" t="s">
        <v>204</v>
      </c>
      <c r="F116" s="1">
        <v>0</v>
      </c>
      <c r="G116" s="1">
        <v>1</v>
      </c>
      <c r="H116" s="1">
        <v>1</v>
      </c>
    </row>
    <row r="117" spans="1:8" x14ac:dyDescent="0.25">
      <c r="A117" t="s">
        <v>180</v>
      </c>
      <c r="B117" s="3">
        <v>78371113292</v>
      </c>
      <c r="C117" t="s">
        <v>205</v>
      </c>
      <c r="D117" t="s">
        <v>180</v>
      </c>
      <c r="E117" t="s">
        <v>206</v>
      </c>
      <c r="F117">
        <v>0</v>
      </c>
      <c r="G117">
        <v>1</v>
      </c>
      <c r="H117">
        <v>1</v>
      </c>
    </row>
    <row r="118" spans="1:8" x14ac:dyDescent="0.25">
      <c r="A118" t="s">
        <v>180</v>
      </c>
      <c r="B118" s="3">
        <v>78371113308</v>
      </c>
      <c r="C118" t="s">
        <v>207</v>
      </c>
      <c r="D118" t="s">
        <v>180</v>
      </c>
      <c r="E118" t="s">
        <v>208</v>
      </c>
      <c r="F118">
        <v>0</v>
      </c>
      <c r="G118">
        <v>2</v>
      </c>
      <c r="H118">
        <v>2</v>
      </c>
    </row>
    <row r="119" spans="1:8" x14ac:dyDescent="0.25">
      <c r="A119" t="s">
        <v>180</v>
      </c>
      <c r="B119" s="3">
        <v>78371115593</v>
      </c>
      <c r="C119" t="s">
        <v>209</v>
      </c>
      <c r="D119" t="s">
        <v>180</v>
      </c>
      <c r="E119" t="s">
        <v>210</v>
      </c>
      <c r="F119">
        <v>0</v>
      </c>
      <c r="G119">
        <v>4</v>
      </c>
      <c r="H119">
        <v>4</v>
      </c>
    </row>
    <row r="120" spans="1:8" x14ac:dyDescent="0.25">
      <c r="A120" t="s">
        <v>180</v>
      </c>
      <c r="B120" s="3">
        <v>7891008367027</v>
      </c>
      <c r="C120" t="s">
        <v>211</v>
      </c>
      <c r="D120" t="s">
        <v>180</v>
      </c>
      <c r="E120" t="s">
        <v>212</v>
      </c>
      <c r="F120">
        <v>0</v>
      </c>
      <c r="G120">
        <v>30</v>
      </c>
      <c r="H120">
        <v>30</v>
      </c>
    </row>
    <row r="121" spans="1:8" x14ac:dyDescent="0.25">
      <c r="A121" t="s">
        <v>180</v>
      </c>
      <c r="B121" s="3">
        <v>7908320401954</v>
      </c>
      <c r="C121" t="s">
        <v>213</v>
      </c>
      <c r="D121" t="s">
        <v>180</v>
      </c>
      <c r="E121" t="s">
        <v>214</v>
      </c>
      <c r="F121">
        <v>0</v>
      </c>
      <c r="G121">
        <v>0</v>
      </c>
      <c r="H121">
        <v>1</v>
      </c>
    </row>
    <row r="122" spans="1:8" x14ac:dyDescent="0.25">
      <c r="A122" t="s">
        <v>180</v>
      </c>
      <c r="B122" s="3">
        <v>8710103875871</v>
      </c>
      <c r="C122" t="s">
        <v>215</v>
      </c>
      <c r="D122" t="s">
        <v>180</v>
      </c>
      <c r="E122" t="s">
        <v>216</v>
      </c>
      <c r="F122">
        <v>0</v>
      </c>
      <c r="G122">
        <v>1</v>
      </c>
      <c r="H122">
        <v>1</v>
      </c>
    </row>
    <row r="123" spans="1:8" x14ac:dyDescent="0.25">
      <c r="A123" t="s">
        <v>180</v>
      </c>
      <c r="B123" s="3">
        <v>900259</v>
      </c>
      <c r="C123" t="s">
        <v>217</v>
      </c>
      <c r="D123" t="s">
        <v>180</v>
      </c>
      <c r="E123" t="s">
        <v>218</v>
      </c>
      <c r="F123">
        <v>0</v>
      </c>
      <c r="G123">
        <v>1</v>
      </c>
      <c r="H123">
        <v>1</v>
      </c>
    </row>
  </sheetData>
  <autoFilter ref="A1:H123" xr:uid="{E603F6AE-E928-4218-BF93-CA41379E6631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Eugenia Limpias Rivero</cp:lastModifiedBy>
  <dcterms:created xsi:type="dcterms:W3CDTF">2026-04-20T15:28:42Z</dcterms:created>
  <dcterms:modified xsi:type="dcterms:W3CDTF">2026-04-20T20:41:51Z</dcterms:modified>
</cp:coreProperties>
</file>