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Envio Recibido</t>
        </is>
      </c>
      <c r="B1" t="inlineStr">
        <is>
          <t>Producto</t>
        </is>
      </c>
      <c r="C1" t="inlineStr">
        <is>
          <t>Descripcion</t>
        </is>
      </c>
      <c r="D1" t="inlineStr">
        <is>
          <t>Tipo ASN</t>
        </is>
      </c>
      <c r="E1" t="inlineStr">
        <is>
          <t>Fe y Hr Crea</t>
        </is>
      </c>
      <c r="F1" t="inlineStr">
        <is>
          <t>Cant Recibida</t>
        </is>
      </c>
      <c r="G1" t="inlineStr">
        <is>
          <t>Cantidad actual</t>
        </is>
      </c>
      <c r="H1" t="inlineStr">
        <is>
          <t>DIF</t>
        </is>
      </c>
    </row>
    <row r="2">
      <c r="A2">
        <f>"2498970"</f>
        <v/>
      </c>
      <c r="B2" t="inlineStr">
        <is>
          <t>7770108269298</t>
        </is>
      </c>
      <c r="C2" t="inlineStr">
        <is>
          <t>SIGNUM 100MG X 35 COMP SITAGLIPTINA</t>
        </is>
      </c>
      <c r="D2" t="inlineStr">
        <is>
          <t>ET</t>
        </is>
      </c>
      <c r="E2" t="inlineStr">
        <is>
          <t>16/04/2026 13:11:38</t>
        </is>
      </c>
      <c r="F2" t="n">
        <v>70</v>
      </c>
      <c r="G2" t="n">
        <v>70</v>
      </c>
      <c r="H2" t="n">
        <v>70</v>
      </c>
    </row>
    <row r="3">
      <c r="A3">
        <f>"2498992"</f>
        <v/>
      </c>
      <c r="B3" t="inlineStr">
        <is>
          <t>7771011350202</t>
        </is>
      </c>
      <c r="C3" t="inlineStr">
        <is>
          <t>AQUATEARS SP COLIRIO X 10ML HIALURONATO SODIO/CONDROITINA</t>
        </is>
      </c>
      <c r="D3" t="inlineStr">
        <is>
          <t>ET</t>
        </is>
      </c>
      <c r="E3" t="inlineStr">
        <is>
          <t>15/04/2026 15:54:32</t>
        </is>
      </c>
      <c r="F3" t="n">
        <v>1</v>
      </c>
      <c r="G3" t="n">
        <v>1</v>
      </c>
      <c r="H3" t="n">
        <v>2</v>
      </c>
    </row>
    <row r="4">
      <c r="A4">
        <f>"2499000"</f>
        <v/>
      </c>
      <c r="B4" t="inlineStr">
        <is>
          <t>7770108264187</t>
        </is>
      </c>
      <c r="C4" t="inlineStr">
        <is>
          <t>PLATELET 250MG IM-IV X 4 AMP/2ML ETAMSILATO</t>
        </is>
      </c>
      <c r="D4" t="inlineStr">
        <is>
          <t>ET</t>
        </is>
      </c>
      <c r="E4" t="inlineStr">
        <is>
          <t>16/04/2026 10:41:09</t>
        </is>
      </c>
      <c r="F4" t="n">
        <v>4</v>
      </c>
      <c r="G4" t="n">
        <v>4</v>
      </c>
      <c r="H4" t="n">
        <v>12</v>
      </c>
    </row>
    <row r="5">
      <c r="A5">
        <f>"2499000"</f>
        <v/>
      </c>
      <c r="B5" t="inlineStr">
        <is>
          <t>7770108268185</t>
        </is>
      </c>
      <c r="C5" t="inlineStr">
        <is>
          <t>MAXIBONAGEL SUSP X200ML S/HERBAL MAGALDRATO/SIMETI</t>
        </is>
      </c>
      <c r="D5" t="inlineStr">
        <is>
          <t>ET</t>
        </is>
      </c>
      <c r="E5" t="inlineStr">
        <is>
          <t>16/04/2026 10:41:08</t>
        </is>
      </c>
      <c r="F5" t="n">
        <v>1</v>
      </c>
      <c r="G5" t="n">
        <v>1</v>
      </c>
      <c r="H5" t="n">
        <v>4</v>
      </c>
    </row>
    <row r="6">
      <c r="A6">
        <f>"2499006"</f>
        <v/>
      </c>
      <c r="B6" t="inlineStr">
        <is>
          <t>7770108263913</t>
        </is>
      </c>
      <c r="C6" t="inlineStr">
        <is>
          <t>SEPTIQUIN F X 30 CAP CIPROFLOXACINA/FENAZOPIRIDINA</t>
        </is>
      </c>
      <c r="D6" t="inlineStr">
        <is>
          <t>ET</t>
        </is>
      </c>
      <c r="E6" t="inlineStr">
        <is>
          <t>17/04/2026 09:27:14</t>
        </is>
      </c>
      <c r="F6" t="n">
        <v>60</v>
      </c>
      <c r="G6" t="n">
        <v>60</v>
      </c>
      <c r="H6" t="n">
        <v>60</v>
      </c>
    </row>
    <row r="7">
      <c r="A7">
        <f>"2499006"</f>
        <v/>
      </c>
      <c r="B7" t="inlineStr">
        <is>
          <t>7770108268185</t>
        </is>
      </c>
      <c r="C7" t="inlineStr">
        <is>
          <t>MAXIBONAGEL SUSP X200ML S/HERBAL MAGALDRATO/SIMETI</t>
        </is>
      </c>
      <c r="D7" t="inlineStr">
        <is>
          <t>ET</t>
        </is>
      </c>
      <c r="E7" t="inlineStr">
        <is>
          <t>17/04/2026 09:27:13</t>
        </is>
      </c>
      <c r="F7" t="n">
        <v>2</v>
      </c>
      <c r="G7" t="n">
        <v>2</v>
      </c>
      <c r="H7" t="n">
        <v>4</v>
      </c>
    </row>
    <row r="8">
      <c r="A8">
        <f>"2499024"</f>
        <v/>
      </c>
      <c r="B8" t="inlineStr">
        <is>
          <t>7771011350097</t>
        </is>
      </c>
      <c r="C8" t="inlineStr">
        <is>
          <t>LEVICALM 1000MG X 30 COMP LEVETIRACETAM</t>
        </is>
      </c>
      <c r="D8" t="inlineStr">
        <is>
          <t>ET</t>
        </is>
      </c>
      <c r="E8" t="inlineStr">
        <is>
          <t>17/04/2026 09:12:54</t>
        </is>
      </c>
      <c r="F8" t="n">
        <v>60</v>
      </c>
      <c r="G8" t="n">
        <v>60</v>
      </c>
      <c r="H8" t="n">
        <v>60</v>
      </c>
    </row>
    <row r="9">
      <c r="A9">
        <f>"2499038"</f>
        <v/>
      </c>
      <c r="B9" t="inlineStr">
        <is>
          <t>7770108263913</t>
        </is>
      </c>
      <c r="C9" t="inlineStr">
        <is>
          <t>SEPTIQUIN F X 30 CAP CIPROFLOXACINA/FENAZOPIRIDINA</t>
        </is>
      </c>
      <c r="D9" t="inlineStr">
        <is>
          <t>ET</t>
        </is>
      </c>
      <c r="E9" t="inlineStr">
        <is>
          <t>16/04/2026 10:49:53</t>
        </is>
      </c>
      <c r="F9" t="n">
        <v>30</v>
      </c>
      <c r="G9" t="n">
        <v>30</v>
      </c>
      <c r="H9" t="n">
        <v>60</v>
      </c>
    </row>
    <row r="10">
      <c r="A10">
        <f>"2499176"</f>
        <v/>
      </c>
      <c r="B10" t="inlineStr">
        <is>
          <t>7770108268185</t>
        </is>
      </c>
      <c r="C10" t="inlineStr">
        <is>
          <t>MAXIBONAGEL SUSP X200ML S/HERBAL MAGALDRATO/SIMETI</t>
        </is>
      </c>
      <c r="D10" t="inlineStr">
        <is>
          <t>ET</t>
        </is>
      </c>
      <c r="E10" t="inlineStr">
        <is>
          <t>17/04/2026 09:35:35</t>
        </is>
      </c>
      <c r="F10" t="n">
        <v>2</v>
      </c>
      <c r="G10" t="n">
        <v>2</v>
      </c>
      <c r="H10" t="n">
        <v>4</v>
      </c>
    </row>
    <row r="11">
      <c r="A11">
        <f>"2499366"</f>
        <v/>
      </c>
      <c r="B11" t="inlineStr">
        <is>
          <t>7770108264187</t>
        </is>
      </c>
      <c r="C11" t="inlineStr">
        <is>
          <t>PLATELET 250MG IM-IV X 4 AMP/2ML ETAMSILATO</t>
        </is>
      </c>
      <c r="D11" t="inlineStr">
        <is>
          <t>ET</t>
        </is>
      </c>
      <c r="E11" t="inlineStr">
        <is>
          <t>17/04/2026 10:53:01</t>
        </is>
      </c>
      <c r="F11" t="n">
        <v>4</v>
      </c>
      <c r="G11" t="n">
        <v>4</v>
      </c>
      <c r="H11" t="n">
        <v>12</v>
      </c>
    </row>
    <row r="12">
      <c r="A12">
        <f>"2499366"</f>
        <v/>
      </c>
      <c r="B12" t="inlineStr">
        <is>
          <t>7770108267157</t>
        </is>
      </c>
      <c r="C12" t="inlineStr">
        <is>
          <t>FIXIM 100MG/5ML SUSP X 100ML CEFIXIMA</t>
        </is>
      </c>
      <c r="D12" t="inlineStr">
        <is>
          <t>ET</t>
        </is>
      </c>
      <c r="E12" t="inlineStr">
        <is>
          <t>17/04/2026 10:53:00</t>
        </is>
      </c>
      <c r="F12" t="n">
        <v>3</v>
      </c>
      <c r="G12" t="n">
        <v>3</v>
      </c>
      <c r="H12" t="n">
        <v>3</v>
      </c>
    </row>
    <row r="13">
      <c r="A13">
        <f>"2499366"</f>
        <v/>
      </c>
      <c r="B13" t="inlineStr">
        <is>
          <t>7770108268420</t>
        </is>
      </c>
      <c r="C13" t="inlineStr">
        <is>
          <t>VIDILOW B SP COLIRIO X 6ML (ANTIGLAUCOMA)</t>
        </is>
      </c>
      <c r="D13" t="inlineStr">
        <is>
          <t>ET</t>
        </is>
      </c>
      <c r="E13" t="inlineStr">
        <is>
          <t>17/04/2026 10:53:00</t>
        </is>
      </c>
      <c r="F13" t="n">
        <v>1</v>
      </c>
      <c r="G13" t="n">
        <v>1</v>
      </c>
      <c r="H13" t="n">
        <v>2</v>
      </c>
    </row>
    <row r="14">
      <c r="A14">
        <f>"2499366"</f>
        <v/>
      </c>
      <c r="B14" t="inlineStr">
        <is>
          <t>7770108269175</t>
        </is>
      </c>
      <c r="C14" t="inlineStr">
        <is>
          <t>ESPASMO LOXADIM IM-IV X16 DOSIS/2 AMP PROPIN/DIPIR</t>
        </is>
      </c>
      <c r="D14" t="inlineStr">
        <is>
          <t>ET</t>
        </is>
      </c>
      <c r="E14" t="inlineStr">
        <is>
          <t>17/04/2026 10:53:01</t>
        </is>
      </c>
      <c r="F14" t="n">
        <v>2</v>
      </c>
      <c r="G14" t="n">
        <v>2</v>
      </c>
      <c r="H14" t="n">
        <v>3</v>
      </c>
    </row>
    <row r="15">
      <c r="A15">
        <f>"2499366"</f>
        <v/>
      </c>
      <c r="B15" t="inlineStr">
        <is>
          <t>7771011351025</t>
        </is>
      </c>
      <c r="C15" t="inlineStr">
        <is>
          <t>HYLUB SP 0.15% COLIRIO X 10ML HIALURONATO SODIO</t>
        </is>
      </c>
      <c r="D15" t="inlineStr">
        <is>
          <t>ET</t>
        </is>
      </c>
      <c r="E15" t="inlineStr">
        <is>
          <t>17/04/2026 10:53:01</t>
        </is>
      </c>
      <c r="F15" t="n">
        <v>1</v>
      </c>
      <c r="G15" t="n">
        <v>1</v>
      </c>
      <c r="H15" t="n">
        <v>2</v>
      </c>
    </row>
    <row r="16">
      <c r="A16">
        <f>"2499368"</f>
        <v/>
      </c>
      <c r="B16" t="inlineStr">
        <is>
          <t>7770108269045</t>
        </is>
      </c>
      <c r="C16" t="inlineStr">
        <is>
          <t>DEFLAZAN 30MG X 10 COMP DEFLAZACORT</t>
        </is>
      </c>
      <c r="D16" t="inlineStr">
        <is>
          <t>ET</t>
        </is>
      </c>
      <c r="E16" t="inlineStr">
        <is>
          <t>16/04/2026 13:31:25</t>
        </is>
      </c>
      <c r="F16" t="n">
        <v>10</v>
      </c>
      <c r="G16" t="n">
        <v>10</v>
      </c>
      <c r="H16" t="n">
        <v>50</v>
      </c>
    </row>
    <row r="17">
      <c r="A17">
        <f>"2499382"</f>
        <v/>
      </c>
      <c r="B17" t="inlineStr">
        <is>
          <t>7770108268918</t>
        </is>
      </c>
      <c r="C17" t="inlineStr">
        <is>
          <t>NOVIREX 200MG/5ML SUSP X 100ML ACICLOVIR</t>
        </is>
      </c>
      <c r="D17" t="inlineStr">
        <is>
          <t>ET</t>
        </is>
      </c>
      <c r="E17" t="inlineStr">
        <is>
          <t>17/04/2026 09:32:42</t>
        </is>
      </c>
      <c r="F17" t="n">
        <v>1</v>
      </c>
      <c r="G17" t="n">
        <v>1</v>
      </c>
      <c r="H17" t="n">
        <v>4</v>
      </c>
    </row>
    <row r="18">
      <c r="A18">
        <f>"2499461"</f>
        <v/>
      </c>
      <c r="B18" t="inlineStr">
        <is>
          <t>7770108264187</t>
        </is>
      </c>
      <c r="C18" t="inlineStr">
        <is>
          <t>PLATELET 250MG IM-IV X 4 AMP/2ML ETAMSILATO</t>
        </is>
      </c>
      <c r="D18" t="inlineStr">
        <is>
          <t>ET</t>
        </is>
      </c>
      <c r="E18" t="inlineStr">
        <is>
          <t>17/04/2026 10:06:16</t>
        </is>
      </c>
      <c r="F18" t="n">
        <v>4</v>
      </c>
      <c r="G18" t="n">
        <v>4</v>
      </c>
      <c r="H18" t="n">
        <v>12</v>
      </c>
    </row>
    <row r="19">
      <c r="A19">
        <f>"2499461"</f>
        <v/>
      </c>
      <c r="B19" t="inlineStr">
        <is>
          <t>7770108265436</t>
        </is>
      </c>
      <c r="C19" t="inlineStr">
        <is>
          <t>FIXIM DT 400MG X 6 COMP DISP CEFIXIMA</t>
        </is>
      </c>
      <c r="D19" t="inlineStr">
        <is>
          <t>ET</t>
        </is>
      </c>
      <c r="E19" t="inlineStr">
        <is>
          <t>17/04/2026 10:06:16</t>
        </is>
      </c>
      <c r="F19" t="n">
        <v>6</v>
      </c>
      <c r="G19" t="n">
        <v>6</v>
      </c>
      <c r="H19" t="n">
        <v>12</v>
      </c>
    </row>
    <row r="20">
      <c r="A20">
        <f>"2499461"</f>
        <v/>
      </c>
      <c r="B20" t="inlineStr">
        <is>
          <t>7770108267935</t>
        </is>
      </c>
      <c r="C20" t="inlineStr">
        <is>
          <t>VIDIMOX 0.5% COLIRIO X 5ML MOXIFLOXACINO</t>
        </is>
      </c>
      <c r="D20" t="inlineStr">
        <is>
          <t>ET</t>
        </is>
      </c>
      <c r="E20" t="inlineStr">
        <is>
          <t>17/04/2026 10:06:18</t>
        </is>
      </c>
      <c r="F20" t="n">
        <v>2</v>
      </c>
      <c r="G20" t="n">
        <v>2</v>
      </c>
      <c r="H20" t="n">
        <v>1</v>
      </c>
    </row>
    <row r="21">
      <c r="A21">
        <f>"2499461"</f>
        <v/>
      </c>
      <c r="B21" t="inlineStr">
        <is>
          <t>7770108268918</t>
        </is>
      </c>
      <c r="C21" t="inlineStr">
        <is>
          <t>NOVIREX 200MG/5ML SUSP X 100ML ACICLOVIR</t>
        </is>
      </c>
      <c r="D21" t="inlineStr">
        <is>
          <t>ET</t>
        </is>
      </c>
      <c r="E21" t="inlineStr">
        <is>
          <t>17/04/2026 10:06:17</t>
        </is>
      </c>
      <c r="F21" t="n">
        <v>2</v>
      </c>
      <c r="G21" t="n">
        <v>2</v>
      </c>
      <c r="H21" t="n">
        <v>4</v>
      </c>
    </row>
    <row r="22">
      <c r="A22">
        <f>"2499461"</f>
        <v/>
      </c>
      <c r="B22" t="inlineStr">
        <is>
          <t>7770108269182</t>
        </is>
      </c>
      <c r="C22" t="inlineStr">
        <is>
          <t>LUBRISTAR SP 0.3% COLIRIO X 10ML HIALURONATO SODIO</t>
        </is>
      </c>
      <c r="D22" t="inlineStr">
        <is>
          <t>ET</t>
        </is>
      </c>
      <c r="E22" t="inlineStr">
        <is>
          <t>17/04/2026 10:06:17</t>
        </is>
      </c>
      <c r="F22" t="n">
        <v>1</v>
      </c>
      <c r="G22" t="n">
        <v>1</v>
      </c>
      <c r="H22" t="n">
        <v>2</v>
      </c>
    </row>
    <row r="23">
      <c r="A23">
        <f>"2499461"</f>
        <v/>
      </c>
      <c r="B23" t="inlineStr">
        <is>
          <t>7771011350202</t>
        </is>
      </c>
      <c r="C23" t="inlineStr">
        <is>
          <t>AQUATEARS SP COLIRIO X 10ML HIALURONATO SODIO/CONDROITINA</t>
        </is>
      </c>
      <c r="D23" t="inlineStr">
        <is>
          <t>ET</t>
        </is>
      </c>
      <c r="E23" t="inlineStr">
        <is>
          <t>17/04/2026 10:06:17</t>
        </is>
      </c>
      <c r="F23" t="n">
        <v>2</v>
      </c>
      <c r="G23" t="n">
        <v>2</v>
      </c>
      <c r="H23" t="n">
        <v>2</v>
      </c>
    </row>
    <row r="24">
      <c r="A24">
        <f>"2499851"</f>
        <v/>
      </c>
      <c r="B24" t="inlineStr">
        <is>
          <t>7770108267935</t>
        </is>
      </c>
      <c r="C24" t="inlineStr">
        <is>
          <t>VIDIMOX 0.5% COLIRIO X 5ML MOXIFLOXACINO</t>
        </is>
      </c>
      <c r="D24" t="inlineStr">
        <is>
          <t>ET</t>
        </is>
      </c>
      <c r="E24" t="inlineStr">
        <is>
          <t>15/04/2026 15:58:02</t>
        </is>
      </c>
      <c r="F24" t="n">
        <v>2</v>
      </c>
      <c r="G24" t="n">
        <v>2</v>
      </c>
      <c r="H24" t="n">
        <v>1</v>
      </c>
    </row>
    <row r="25">
      <c r="A25">
        <f>"2499858"</f>
        <v/>
      </c>
      <c r="B25" t="inlineStr">
        <is>
          <t>7770108268420</t>
        </is>
      </c>
      <c r="C25" t="inlineStr">
        <is>
          <t>VIDILOW B SP COLIRIO X 6ML (ANTIGLAUCOMA)</t>
        </is>
      </c>
      <c r="D25" t="inlineStr">
        <is>
          <t>ET</t>
        </is>
      </c>
      <c r="E25" t="inlineStr">
        <is>
          <t>14/04/2026 17:10:17</t>
        </is>
      </c>
      <c r="F25" t="n">
        <v>2</v>
      </c>
      <c r="G25" t="n">
        <v>2</v>
      </c>
      <c r="H25" t="n">
        <v>2</v>
      </c>
    </row>
    <row r="26">
      <c r="A26">
        <f>"2499858"</f>
        <v/>
      </c>
      <c r="B26" t="inlineStr">
        <is>
          <t>7771011351025</t>
        </is>
      </c>
      <c r="C26" t="inlineStr">
        <is>
          <t>HYLUB SP 0.15% COLIRIO X 10ML HIALURONATO SODIO</t>
        </is>
      </c>
      <c r="D26" t="inlineStr">
        <is>
          <t>ET</t>
        </is>
      </c>
      <c r="E26" t="inlineStr">
        <is>
          <t>14/04/2026 17:10:17</t>
        </is>
      </c>
      <c r="F26" t="n">
        <v>2</v>
      </c>
      <c r="G26" t="n">
        <v>2</v>
      </c>
      <c r="H26" t="n">
        <v>2</v>
      </c>
    </row>
    <row r="27">
      <c r="A27">
        <f>"2499864"</f>
        <v/>
      </c>
      <c r="B27" t="inlineStr">
        <is>
          <t>7770108269045</t>
        </is>
      </c>
      <c r="C27" t="inlineStr">
        <is>
          <t>DEFLAZAN 30MG X 10 COMP DEFLAZACORT</t>
        </is>
      </c>
      <c r="D27" t="inlineStr">
        <is>
          <t>ET</t>
        </is>
      </c>
      <c r="E27" t="inlineStr">
        <is>
          <t>15/04/2026 15:59:23</t>
        </is>
      </c>
      <c r="F27" t="n">
        <v>30</v>
      </c>
      <c r="G27" t="n">
        <v>30</v>
      </c>
      <c r="H27" t="n">
        <v>50</v>
      </c>
    </row>
    <row r="28">
      <c r="A28">
        <f>"2499909"</f>
        <v/>
      </c>
      <c r="B28" t="inlineStr">
        <is>
          <t>7770108264187</t>
        </is>
      </c>
      <c r="C28" t="inlineStr">
        <is>
          <t>PLATELET 250MG IM-IV X 4 AMP/2ML ETAMSILATO</t>
        </is>
      </c>
      <c r="D28" t="inlineStr">
        <is>
          <t>ET</t>
        </is>
      </c>
      <c r="E28" t="inlineStr">
        <is>
          <t>17/04/2026 11:12:49</t>
        </is>
      </c>
      <c r="F28" t="n">
        <v>12</v>
      </c>
      <c r="G28" t="n">
        <v>12</v>
      </c>
      <c r="H28" t="n">
        <v>12</v>
      </c>
    </row>
    <row r="29">
      <c r="A29">
        <f>"2499909"</f>
        <v/>
      </c>
      <c r="B29" t="inlineStr">
        <is>
          <t>7770108268185</t>
        </is>
      </c>
      <c r="C29" t="inlineStr">
        <is>
          <t>MAXIBONAGEL SUSP X200ML S/HERBAL MAGALDRATO/SIMETI</t>
        </is>
      </c>
      <c r="D29" t="inlineStr">
        <is>
          <t>ET</t>
        </is>
      </c>
      <c r="E29" t="inlineStr">
        <is>
          <t>17/04/2026 11:12:47</t>
        </is>
      </c>
      <c r="F29" t="n">
        <v>1</v>
      </c>
      <c r="G29" t="n">
        <v>1</v>
      </c>
      <c r="H29" t="n">
        <v>4</v>
      </c>
    </row>
    <row r="30">
      <c r="A30">
        <f>"2499909"</f>
        <v/>
      </c>
      <c r="B30" t="inlineStr">
        <is>
          <t>7770108269182</t>
        </is>
      </c>
      <c r="C30" t="inlineStr">
        <is>
          <t>LUBRISTAR SP 0.3% COLIRIO X 10ML HIALURONATO SODIO</t>
        </is>
      </c>
      <c r="D30" t="inlineStr">
        <is>
          <t>ET</t>
        </is>
      </c>
      <c r="E30" t="inlineStr">
        <is>
          <t>17/04/2026 11:12:46</t>
        </is>
      </c>
      <c r="F30" t="n">
        <v>1</v>
      </c>
      <c r="G30" t="n">
        <v>1</v>
      </c>
      <c r="H30" t="n">
        <v>2</v>
      </c>
    </row>
    <row r="31">
      <c r="A31">
        <f>"2499924"</f>
        <v/>
      </c>
      <c r="B31" t="inlineStr">
        <is>
          <t>7770108263913</t>
        </is>
      </c>
      <c r="C31" t="inlineStr">
        <is>
          <t>SEPTIQUIN F X 30 CAP CIPROFLOXACINA/FENAZOPIRIDINA</t>
        </is>
      </c>
      <c r="D31" t="inlineStr">
        <is>
          <t>ET</t>
        </is>
      </c>
      <c r="E31" t="inlineStr">
        <is>
          <t>16/04/2026 10:59:35</t>
        </is>
      </c>
      <c r="F31" t="n">
        <v>30</v>
      </c>
      <c r="G31" t="n">
        <v>30</v>
      </c>
      <c r="H31" t="n">
        <v>60</v>
      </c>
    </row>
    <row r="32">
      <c r="A32">
        <f>"2499947"</f>
        <v/>
      </c>
      <c r="B32" t="inlineStr">
        <is>
          <t>7770108263913</t>
        </is>
      </c>
      <c r="C32" t="inlineStr">
        <is>
          <t>SEPTIQUIN F X 30 CAP CIPROFLOXACINA/FENAZOPIRIDINA</t>
        </is>
      </c>
      <c r="D32" t="inlineStr">
        <is>
          <t>ET</t>
        </is>
      </c>
      <c r="E32" t="inlineStr">
        <is>
          <t>15/04/2026 16:04:46</t>
        </is>
      </c>
      <c r="F32" t="n">
        <v>30</v>
      </c>
      <c r="G32" t="n">
        <v>30</v>
      </c>
      <c r="H32" t="n">
        <v>60</v>
      </c>
    </row>
    <row r="33">
      <c r="A33">
        <f>"2499947"</f>
        <v/>
      </c>
      <c r="B33" t="inlineStr">
        <is>
          <t>7770108268918</t>
        </is>
      </c>
      <c r="C33" t="inlineStr">
        <is>
          <t>NOVIREX 200MG/5ML SUSP X 100ML ACICLOVIR</t>
        </is>
      </c>
      <c r="D33" t="inlineStr">
        <is>
          <t>ET</t>
        </is>
      </c>
      <c r="E33" t="inlineStr">
        <is>
          <t>15/04/2026 16:07:11</t>
        </is>
      </c>
      <c r="F33" t="n">
        <v>2</v>
      </c>
      <c r="G33" t="n">
        <v>2</v>
      </c>
      <c r="H33" t="n">
        <v>4</v>
      </c>
    </row>
    <row r="34">
      <c r="A34">
        <f>"2499952"</f>
        <v/>
      </c>
      <c r="B34" t="inlineStr">
        <is>
          <t>7770108265436</t>
        </is>
      </c>
      <c r="C34" t="inlineStr">
        <is>
          <t>FIXIM DT 400MG X 6 COMP DISP CEFIXIMA</t>
        </is>
      </c>
      <c r="D34" t="inlineStr">
        <is>
          <t>ET</t>
        </is>
      </c>
      <c r="E34" t="inlineStr">
        <is>
          <t>17/04/2026 11:31:35</t>
        </is>
      </c>
      <c r="F34" t="n">
        <v>12</v>
      </c>
      <c r="G34" t="n">
        <v>12</v>
      </c>
      <c r="H34" t="n">
        <v>12</v>
      </c>
    </row>
    <row r="35">
      <c r="A35">
        <f>"2499955"</f>
        <v/>
      </c>
      <c r="B35" t="inlineStr">
        <is>
          <t>7770108267935</t>
        </is>
      </c>
      <c r="C35" t="inlineStr">
        <is>
          <t>VIDIMOX 0.5% COLIRIO X 5ML MOXIFLOXACINO</t>
        </is>
      </c>
      <c r="D35" t="inlineStr">
        <is>
          <t>ET</t>
        </is>
      </c>
      <c r="E35" t="inlineStr">
        <is>
          <t>17/04/2026 09:47:11</t>
        </is>
      </c>
      <c r="F35" t="n">
        <v>1</v>
      </c>
      <c r="G35" t="n">
        <v>1</v>
      </c>
      <c r="H35" t="n">
        <v>1</v>
      </c>
    </row>
    <row r="36">
      <c r="A36">
        <f>"2499955"</f>
        <v/>
      </c>
      <c r="B36" t="inlineStr">
        <is>
          <t>7770108268918</t>
        </is>
      </c>
      <c r="C36" t="inlineStr">
        <is>
          <t>NOVIREX 200MG/5ML SUSP X 100ML ACICLOVIR</t>
        </is>
      </c>
      <c r="D36" t="inlineStr">
        <is>
          <t>ET</t>
        </is>
      </c>
      <c r="E36" t="inlineStr">
        <is>
          <t>17/04/2026 09:47:04</t>
        </is>
      </c>
      <c r="F36" t="n">
        <v>1</v>
      </c>
      <c r="G36" t="n">
        <v>1</v>
      </c>
      <c r="H36" t="n">
        <v>4</v>
      </c>
    </row>
    <row r="37">
      <c r="A37">
        <f>"2499955"</f>
        <v/>
      </c>
      <c r="B37" t="inlineStr">
        <is>
          <t>7770108269045</t>
        </is>
      </c>
      <c r="C37" t="inlineStr">
        <is>
          <t>DEFLAZAN 30MG X 10 COMP DEFLAZACORT</t>
        </is>
      </c>
      <c r="D37" t="inlineStr">
        <is>
          <t>ET</t>
        </is>
      </c>
      <c r="E37" t="inlineStr">
        <is>
          <t>17/04/2026 09:47:04</t>
        </is>
      </c>
      <c r="F37" t="n">
        <v>30</v>
      </c>
      <c r="G37" t="n">
        <v>30</v>
      </c>
      <c r="H37" t="n">
        <v>50</v>
      </c>
    </row>
    <row r="38">
      <c r="A38">
        <f>"2499965"</f>
        <v/>
      </c>
      <c r="B38" t="inlineStr">
        <is>
          <t>7770108268185</t>
        </is>
      </c>
      <c r="C38" t="inlineStr">
        <is>
          <t>MAXIBONAGEL SUSP X200ML S/HERBAL MAGALDRATO/SIMETI</t>
        </is>
      </c>
      <c r="D38" t="inlineStr">
        <is>
          <t>ET</t>
        </is>
      </c>
      <c r="E38" t="inlineStr">
        <is>
          <t>16/04/2026 10:30:32</t>
        </is>
      </c>
      <c r="F38" t="n">
        <v>1</v>
      </c>
      <c r="G38" t="n">
        <v>1</v>
      </c>
      <c r="H38" t="n">
        <v>4</v>
      </c>
    </row>
    <row r="39">
      <c r="A39">
        <f>"2499965"</f>
        <v/>
      </c>
      <c r="B39" t="inlineStr">
        <is>
          <t>7770108269045</t>
        </is>
      </c>
      <c r="C39" t="inlineStr">
        <is>
          <t>DEFLAZAN 30MG X 10 COMP DEFLAZACORT</t>
        </is>
      </c>
      <c r="D39" t="inlineStr">
        <is>
          <t>ET</t>
        </is>
      </c>
      <c r="E39" t="inlineStr">
        <is>
          <t>16/04/2026 10:30:30</t>
        </is>
      </c>
      <c r="F39" t="n">
        <v>10</v>
      </c>
      <c r="G39" t="n">
        <v>10</v>
      </c>
      <c r="H39" t="n">
        <v>50</v>
      </c>
    </row>
    <row r="40">
      <c r="A40">
        <f>"2499998"</f>
        <v/>
      </c>
      <c r="B40" t="inlineStr">
        <is>
          <t>7770108269182</t>
        </is>
      </c>
      <c r="C40" t="inlineStr">
        <is>
          <t>LUBRISTAR SP 0.3% COLIRIO X 10ML HIALURONATO SODIO</t>
        </is>
      </c>
      <c r="D40" t="inlineStr">
        <is>
          <t>ET</t>
        </is>
      </c>
      <c r="E40" t="inlineStr">
        <is>
          <t>16/04/2026 11:21:38</t>
        </is>
      </c>
      <c r="F40" t="n">
        <v>1</v>
      </c>
      <c r="G40" t="n">
        <v>1</v>
      </c>
      <c r="H40" t="n">
        <v>2</v>
      </c>
    </row>
    <row r="41">
      <c r="A41">
        <f>"2500195"</f>
        <v/>
      </c>
      <c r="B41" t="inlineStr">
        <is>
          <t>7770108265436</t>
        </is>
      </c>
      <c r="C41" t="inlineStr">
        <is>
          <t>FIXIM DT 400MG X 6 COMP DISP CEFIXIMA</t>
        </is>
      </c>
      <c r="D41" t="inlineStr">
        <is>
          <t>ET</t>
        </is>
      </c>
      <c r="E41" t="inlineStr">
        <is>
          <t>16/04/2026 10:12:04</t>
        </is>
      </c>
      <c r="F41" t="n">
        <v>6</v>
      </c>
      <c r="G41" t="n">
        <v>6</v>
      </c>
      <c r="H41" t="n">
        <v>12</v>
      </c>
    </row>
    <row r="42">
      <c r="A42">
        <f>"2500195"</f>
        <v/>
      </c>
      <c r="B42" t="inlineStr">
        <is>
          <t>7770108269175</t>
        </is>
      </c>
      <c r="C42" t="inlineStr">
        <is>
          <t>ESPASMO LOXADIM IM-IV X16 DOSIS/2 AMP PROPIN/DIPIR</t>
        </is>
      </c>
      <c r="D42" t="inlineStr">
        <is>
          <t>ET</t>
        </is>
      </c>
      <c r="E42" t="inlineStr">
        <is>
          <t>16/04/2026 10:12:02</t>
        </is>
      </c>
      <c r="F42" t="n">
        <v>3</v>
      </c>
      <c r="G42" t="n">
        <v>3</v>
      </c>
      <c r="H42" t="n">
        <v>3</v>
      </c>
    </row>
    <row r="43">
      <c r="A43">
        <f>"2500195"</f>
        <v/>
      </c>
      <c r="B43" t="inlineStr">
        <is>
          <t>7770108269182</t>
        </is>
      </c>
      <c r="C43" t="inlineStr">
        <is>
          <t>LUBRISTAR SP 0.3% COLIRIO X 10ML HIALURONATO SODIO</t>
        </is>
      </c>
      <c r="D43" t="inlineStr">
        <is>
          <t>ET</t>
        </is>
      </c>
      <c r="E43" t="inlineStr">
        <is>
          <t>16/04/2026 10:12:02</t>
        </is>
      </c>
      <c r="F43" t="n">
        <v>2</v>
      </c>
      <c r="G43" t="n">
        <v>2</v>
      </c>
      <c r="H43" t="n">
        <v>2</v>
      </c>
    </row>
    <row r="44">
      <c r="A44">
        <f>"2500196"</f>
        <v/>
      </c>
      <c r="B44" t="inlineStr">
        <is>
          <t>7770108269298</t>
        </is>
      </c>
      <c r="C44" t="inlineStr">
        <is>
          <t>SIGNUM 100MG X 35 COMP SITAGLIPTINA</t>
        </is>
      </c>
      <c r="D44" t="inlineStr">
        <is>
          <t>ET</t>
        </is>
      </c>
      <c r="E44" t="inlineStr">
        <is>
          <t>17/04/2026 10:36:05</t>
        </is>
      </c>
      <c r="F44" t="n">
        <v>35</v>
      </c>
      <c r="G44" t="n">
        <v>35</v>
      </c>
      <c r="H44" t="n">
        <v>70</v>
      </c>
    </row>
    <row r="45">
      <c r="A45" t="inlineStr">
        <is>
          <t>OSB20000132499</t>
        </is>
      </c>
      <c r="B45" t="inlineStr">
        <is>
          <t>7772314150032</t>
        </is>
      </c>
      <c r="C45" t="inlineStr">
        <is>
          <t>TRISOY TOSCANA VINAGRE DE ALCOHOL TINTO X 645ML</t>
        </is>
      </c>
      <c r="D45" t="inlineStr">
        <is>
          <t>ET</t>
        </is>
      </c>
      <c r="E45" t="inlineStr">
        <is>
          <t>04/04/2026 11:02:18</t>
        </is>
      </c>
      <c r="F45" t="n">
        <v>12</v>
      </c>
      <c r="G45" t="n">
        <v>12</v>
      </c>
      <c r="H45" t="n">
        <v>12</v>
      </c>
    </row>
    <row r="46">
      <c r="A46" t="inlineStr">
        <is>
          <t>OSB30000104648</t>
        </is>
      </c>
      <c r="B46" t="inlineStr">
        <is>
          <t>7771805000030</t>
        </is>
      </c>
      <c r="C46" t="inlineStr">
        <is>
          <t>COPACABANA CAFE PREMIUM MOLIDO DP X 250GR</t>
        </is>
      </c>
      <c r="D46" t="inlineStr">
        <is>
          <t>ET</t>
        </is>
      </c>
      <c r="E46" t="inlineStr">
        <is>
          <t>04/04/2026 12:01:23</t>
        </is>
      </c>
      <c r="F46" t="n">
        <v>22</v>
      </c>
      <c r="G46" t="n">
        <v>27</v>
      </c>
      <c r="H46" t="n">
        <v>10</v>
      </c>
    </row>
    <row r="47">
      <c r="A47" t="inlineStr">
        <is>
          <t>OSB30000104648</t>
        </is>
      </c>
      <c r="B47" t="inlineStr">
        <is>
          <t>7771805000061</t>
        </is>
      </c>
      <c r="C47" t="inlineStr">
        <is>
          <t>COPACABANA CAFE TRADICIONAL BLS X 500GR</t>
        </is>
      </c>
      <c r="D47" t="inlineStr">
        <is>
          <t>ET</t>
        </is>
      </c>
      <c r="E47" t="inlineStr">
        <is>
          <t>04/04/2026 11:50:26</t>
        </is>
      </c>
      <c r="F47" t="n">
        <v>0</v>
      </c>
      <c r="G47" t="n">
        <v>0</v>
      </c>
      <c r="H47" t="n">
        <v>8</v>
      </c>
    </row>
    <row r="48">
      <c r="A48" t="inlineStr">
        <is>
          <t>OSB30000104648</t>
        </is>
      </c>
      <c r="B48" t="inlineStr">
        <is>
          <t>7771805000207</t>
        </is>
      </c>
      <c r="C48" t="inlineStr">
        <is>
          <t>COPACABANA CAFE LIOFILIZADO FCO X 200GR</t>
        </is>
      </c>
      <c r="D48" t="inlineStr">
        <is>
          <t>ET</t>
        </is>
      </c>
      <c r="E48" t="inlineStr">
        <is>
          <t>04/04/2026 12:10:15</t>
        </is>
      </c>
      <c r="F48" t="n">
        <v>24</v>
      </c>
      <c r="G48" t="n">
        <v>24</v>
      </c>
      <c r="H48" t="n">
        <v>28</v>
      </c>
    </row>
    <row r="49">
      <c r="A49" t="inlineStr">
        <is>
          <t>OSB30000105123</t>
        </is>
      </c>
      <c r="B49" t="inlineStr">
        <is>
          <t>751087</t>
        </is>
      </c>
      <c r="C49" t="inlineStr">
        <is>
          <t>BICARBONATO SODIO 8% X 25 AMP/20ML GENERICO LI</t>
        </is>
      </c>
      <c r="D49" t="inlineStr">
        <is>
          <t>ET</t>
        </is>
      </c>
      <c r="E49" t="inlineStr">
        <is>
          <t>01/04/2026 12:53:00</t>
        </is>
      </c>
      <c r="F49" t="n">
        <v>10</v>
      </c>
      <c r="G49" t="n">
        <v>10</v>
      </c>
      <c r="H49" t="n">
        <v>5</v>
      </c>
    </row>
    <row r="50">
      <c r="A50" t="inlineStr">
        <is>
          <t>OSB30000105123</t>
        </is>
      </c>
      <c r="B50" t="inlineStr">
        <is>
          <t>7771805000207</t>
        </is>
      </c>
      <c r="C50" t="inlineStr">
        <is>
          <t>COPACABANA CAFE LIOFILIZADO FCO X 200GR</t>
        </is>
      </c>
      <c r="D50" t="inlineStr">
        <is>
          <t>ET</t>
        </is>
      </c>
      <c r="E50" t="inlineStr">
        <is>
          <t>01/04/2026 12:55:02</t>
        </is>
      </c>
      <c r="F50" t="n">
        <v>28</v>
      </c>
      <c r="G50" t="n">
        <v>20</v>
      </c>
      <c r="H50" t="n">
        <v>28</v>
      </c>
    </row>
    <row r="51">
      <c r="A51" t="inlineStr">
        <is>
          <t>SHB10000269656</t>
        </is>
      </c>
      <c r="B51" t="inlineStr">
        <is>
          <t>106401</t>
        </is>
      </c>
      <c r="C51" t="inlineStr">
        <is>
          <t>ALGODON FARMACORP X 10GR V</t>
        </is>
      </c>
      <c r="D51" t="inlineStr">
        <is>
          <t>EC</t>
        </is>
      </c>
      <c r="E51" t="inlineStr">
        <is>
          <t>02/04/2026 15:49:13</t>
        </is>
      </c>
      <c r="F51" t="n">
        <v>0</v>
      </c>
      <c r="G51" t="n">
        <v>0</v>
      </c>
      <c r="H51" t="n">
        <v>3607</v>
      </c>
    </row>
    <row r="52">
      <c r="A52" t="inlineStr">
        <is>
          <t>SHB10000270035</t>
        </is>
      </c>
      <c r="B52" t="inlineStr">
        <is>
          <t>7730963250930</t>
        </is>
      </c>
      <c r="C52" t="inlineStr">
        <is>
          <t>LEVOPLANT 75MG X 2 IMPLANTES SUBDERMICOS LEVONORGESTREL</t>
        </is>
      </c>
      <c r="D52" t="inlineStr">
        <is>
          <t>EC</t>
        </is>
      </c>
      <c r="E52" t="inlineStr">
        <is>
          <t>02/04/2026 10:06:10</t>
        </is>
      </c>
      <c r="F52" t="n">
        <v>6</v>
      </c>
      <c r="G52" t="n">
        <v>6</v>
      </c>
      <c r="H52" t="n">
        <v>1</v>
      </c>
    </row>
    <row r="53">
      <c r="A53" t="inlineStr">
        <is>
          <t>SHB10000270094</t>
        </is>
      </c>
      <c r="B53" t="inlineStr">
        <is>
          <t>7840036008723</t>
        </is>
      </c>
      <c r="C53" t="inlineStr">
        <is>
          <t>SIONUS X 30 COMP LEVODOPA/CARBIDOPA</t>
        </is>
      </c>
      <c r="D53" t="inlineStr">
        <is>
          <t>EC</t>
        </is>
      </c>
      <c r="E53" t="inlineStr">
        <is>
          <t>06/04/2026 15:35:44</t>
        </is>
      </c>
      <c r="F53" t="n">
        <v>0</v>
      </c>
      <c r="G53" t="n">
        <v>0</v>
      </c>
      <c r="H53" t="n">
        <v>90</v>
      </c>
    </row>
    <row r="54">
      <c r="A54" t="inlineStr">
        <is>
          <t>SHB10000270105</t>
        </is>
      </c>
      <c r="B54" t="inlineStr">
        <is>
          <t>7770108267157</t>
        </is>
      </c>
      <c r="C54" t="inlineStr">
        <is>
          <t>FIXIM 100MG/5ML SUSP X 100ML CEFIXIMA</t>
        </is>
      </c>
      <c r="D54" t="inlineStr">
        <is>
          <t>EC</t>
        </is>
      </c>
      <c r="E54" t="inlineStr">
        <is>
          <t>06/04/2026 12:43:21</t>
        </is>
      </c>
      <c r="F54" t="n">
        <v>42</v>
      </c>
      <c r="G54" t="n">
        <v>6</v>
      </c>
      <c r="H54" t="n">
        <v>3</v>
      </c>
    </row>
    <row r="55">
      <c r="A55" t="inlineStr">
        <is>
          <t>SHB10000270107</t>
        </is>
      </c>
      <c r="B55" t="inlineStr">
        <is>
          <t>7770108263913</t>
        </is>
      </c>
      <c r="C55" t="inlineStr">
        <is>
          <t>SEPTIQUIN F X 30 CAP CIPROFLOXACINA/FENAZOPIRIDINA</t>
        </is>
      </c>
      <c r="D55" t="inlineStr">
        <is>
          <t>EC</t>
        </is>
      </c>
      <c r="E55" t="inlineStr">
        <is>
          <t>06/04/2026 14:54:33</t>
        </is>
      </c>
      <c r="F55" t="n">
        <v>0</v>
      </c>
      <c r="G55" t="n">
        <v>0</v>
      </c>
      <c r="H55" t="n">
        <v>60</v>
      </c>
    </row>
    <row r="56">
      <c r="A56" t="inlineStr">
        <is>
          <t>SHB10000270107</t>
        </is>
      </c>
      <c r="B56" t="inlineStr">
        <is>
          <t>7770108267935</t>
        </is>
      </c>
      <c r="C56" t="inlineStr">
        <is>
          <t>VIDIMOX 0.5% COLIRIO X 5ML MOXIFLOXACINO</t>
        </is>
      </c>
      <c r="D56" t="inlineStr">
        <is>
          <t>EC</t>
        </is>
      </c>
      <c r="E56" t="inlineStr">
        <is>
          <t>06/04/2026 14:57:36</t>
        </is>
      </c>
      <c r="F56" t="n">
        <v>77</v>
      </c>
      <c r="G56" t="n">
        <v>16</v>
      </c>
      <c r="H56" t="n">
        <v>1</v>
      </c>
    </row>
    <row r="57">
      <c r="A57" t="inlineStr">
        <is>
          <t>SHB10000270108</t>
        </is>
      </c>
      <c r="B57" t="inlineStr">
        <is>
          <t>67238891190</t>
        </is>
      </c>
      <c r="C57" t="inlineStr">
        <is>
          <t>DOVE JABON X 135GR BLANCO</t>
        </is>
      </c>
      <c r="D57" t="inlineStr">
        <is>
          <t>EC</t>
        </is>
      </c>
      <c r="E57" t="inlineStr">
        <is>
          <t>06/04/2026 14:03:42</t>
        </is>
      </c>
      <c r="F57" t="n">
        <v>1248</v>
      </c>
      <c r="G57" t="n">
        <v>274</v>
      </c>
      <c r="H57" t="n">
        <v>1</v>
      </c>
    </row>
    <row r="58">
      <c r="A58" t="inlineStr">
        <is>
          <t>SHB10000270125</t>
        </is>
      </c>
      <c r="B58" t="inlineStr">
        <is>
          <t>7770108269182</t>
        </is>
      </c>
      <c r="C58" t="inlineStr">
        <is>
          <t>LUBRISTAR SP 0.3% COLIRIO X 10ML HIALURONATO SODIO</t>
        </is>
      </c>
      <c r="D58" t="inlineStr">
        <is>
          <t>EC</t>
        </is>
      </c>
      <c r="E58" t="inlineStr">
        <is>
          <t>06/04/2026 14:38:26</t>
        </is>
      </c>
      <c r="F58" t="n">
        <v>16</v>
      </c>
      <c r="G58" t="n">
        <v>5</v>
      </c>
      <c r="H58" t="n">
        <v>2</v>
      </c>
    </row>
    <row r="59">
      <c r="A59" t="inlineStr">
        <is>
          <t>SHB10000270125</t>
        </is>
      </c>
      <c r="B59" t="inlineStr">
        <is>
          <t>7771011351025</t>
        </is>
      </c>
      <c r="C59" t="inlineStr">
        <is>
          <t>HYLUB SP 0.15% COLIRIO X 10ML HIALURONATO SODIO</t>
        </is>
      </c>
      <c r="D59" t="inlineStr">
        <is>
          <t>EC</t>
        </is>
      </c>
      <c r="E59" t="inlineStr">
        <is>
          <t>06/04/2026 14:30:02</t>
        </is>
      </c>
      <c r="F59" t="n">
        <v>14</v>
      </c>
      <c r="G59" t="n">
        <v>0</v>
      </c>
      <c r="H59" t="n">
        <v>2</v>
      </c>
    </row>
    <row r="60">
      <c r="A60" t="inlineStr">
        <is>
          <t>SHB10000270126</t>
        </is>
      </c>
      <c r="B60" t="inlineStr">
        <is>
          <t>7771011350202</t>
        </is>
      </c>
      <c r="C60" t="inlineStr">
        <is>
          <t>AQUATEARS SP COLIRIO X 10ML HIALURONATO SODIO/CONDROITINA</t>
        </is>
      </c>
      <c r="D60" t="inlineStr">
        <is>
          <t>EC</t>
        </is>
      </c>
      <c r="E60" t="inlineStr">
        <is>
          <t>06/04/2026 13:33:19</t>
        </is>
      </c>
      <c r="F60" t="n">
        <v>0</v>
      </c>
      <c r="G60" t="n">
        <v>0</v>
      </c>
      <c r="H60" t="n">
        <v>2</v>
      </c>
    </row>
    <row r="61">
      <c r="A61" t="inlineStr">
        <is>
          <t>SHB10000270197</t>
        </is>
      </c>
      <c r="B61" t="inlineStr">
        <is>
          <t>751323</t>
        </is>
      </c>
      <c r="C61" t="inlineStr">
        <is>
          <t>COTRIMOXAZOL 200/40MG SUSP X 100ML GENERICO LI</t>
        </is>
      </c>
      <c r="D61" t="inlineStr">
        <is>
          <t>EC</t>
        </is>
      </c>
      <c r="E61" t="inlineStr">
        <is>
          <t>07/04/2026 10:31:26</t>
        </is>
      </c>
      <c r="F61" t="n">
        <v>100</v>
      </c>
      <c r="G61" t="n">
        <v>57</v>
      </c>
      <c r="H61" t="n">
        <v>57</v>
      </c>
    </row>
    <row r="62">
      <c r="A62" t="inlineStr">
        <is>
          <t>SHB10000270302</t>
        </is>
      </c>
      <c r="B62" t="inlineStr">
        <is>
          <t>7892840819187</t>
        </is>
      </c>
      <c r="C62" t="inlineStr">
        <is>
          <t>TODDY ORIGINAL CHOCOLATE X 1.8KG</t>
        </is>
      </c>
      <c r="D62" t="inlineStr">
        <is>
          <t>EC</t>
        </is>
      </c>
      <c r="E62" t="inlineStr">
        <is>
          <t>08/04/2026 10:20:45</t>
        </is>
      </c>
      <c r="F62" t="n">
        <v>6</v>
      </c>
      <c r="G62" t="n">
        <v>4</v>
      </c>
      <c r="H62" t="n">
        <v>95</v>
      </c>
    </row>
    <row r="63">
      <c r="A63" t="inlineStr">
        <is>
          <t>SHB10000270302</t>
        </is>
      </c>
      <c r="B63" t="inlineStr">
        <is>
          <t>7892840819514</t>
        </is>
      </c>
      <c r="C63" t="inlineStr">
        <is>
          <t>TODDY ORIGINAL X 370GR CHOCOLATE EN POLVO</t>
        </is>
      </c>
      <c r="D63" t="inlineStr">
        <is>
          <t>EC</t>
        </is>
      </c>
      <c r="E63" t="inlineStr">
        <is>
          <t>08/04/2026 10:27:14</t>
        </is>
      </c>
      <c r="F63" t="n">
        <v>72</v>
      </c>
      <c r="G63" t="n">
        <v>64</v>
      </c>
      <c r="H63" t="n">
        <v>6</v>
      </c>
    </row>
    <row r="64">
      <c r="A64" t="inlineStr">
        <is>
          <t>SHB10000270435</t>
        </is>
      </c>
      <c r="B64" t="inlineStr">
        <is>
          <t>7771011350202</t>
        </is>
      </c>
      <c r="C64" t="inlineStr">
        <is>
          <t>AQUATEARS SP COLIRIO X 10ML HIALURONATO SODIO/CONDROITINA</t>
        </is>
      </c>
      <c r="D64" t="inlineStr">
        <is>
          <t>EC</t>
        </is>
      </c>
      <c r="E64" t="inlineStr">
        <is>
          <t>09/04/2026 10:06:19</t>
        </is>
      </c>
      <c r="F64" t="n">
        <v>11</v>
      </c>
      <c r="G64" t="n">
        <v>8</v>
      </c>
      <c r="H64" t="n">
        <v>2</v>
      </c>
    </row>
    <row r="65">
      <c r="A65" t="inlineStr">
        <is>
          <t>SHB10000270437</t>
        </is>
      </c>
      <c r="B65" t="inlineStr">
        <is>
          <t>7770108269045</t>
        </is>
      </c>
      <c r="C65" t="inlineStr">
        <is>
          <t>DEFLAZAN 30MG X 10 COMP DEFLAZACORT</t>
        </is>
      </c>
      <c r="D65" t="inlineStr">
        <is>
          <t>EC</t>
        </is>
      </c>
      <c r="E65" t="inlineStr">
        <is>
          <t>09/04/2026 09:46:16</t>
        </is>
      </c>
      <c r="F65" t="n">
        <v>910</v>
      </c>
      <c r="G65" t="n">
        <v>160</v>
      </c>
      <c r="H65" t="n">
        <v>50</v>
      </c>
    </row>
    <row r="66">
      <c r="A66" t="inlineStr">
        <is>
          <t>SHB10000270439</t>
        </is>
      </c>
      <c r="B66" t="inlineStr">
        <is>
          <t>7771011351025</t>
        </is>
      </c>
      <c r="C66" t="inlineStr">
        <is>
          <t>HYLUB SP 0.15% COLIRIO X 10ML HIALURONATO SODIO</t>
        </is>
      </c>
      <c r="D66" t="inlineStr">
        <is>
          <t>EC</t>
        </is>
      </c>
      <c r="E66" t="inlineStr">
        <is>
          <t>09/04/2026 13:07:20</t>
        </is>
      </c>
      <c r="F66" t="n">
        <v>21</v>
      </c>
      <c r="G66" t="n">
        <v>17</v>
      </c>
      <c r="H66" t="n">
        <v>2</v>
      </c>
    </row>
    <row r="67">
      <c r="A67" t="inlineStr">
        <is>
          <t>SHB10000270442</t>
        </is>
      </c>
      <c r="B67" t="inlineStr">
        <is>
          <t>7770108269182</t>
        </is>
      </c>
      <c r="C67" t="inlineStr">
        <is>
          <t>LUBRISTAR SP 0.3% COLIRIO X 10ML HIALURONATO SODIO</t>
        </is>
      </c>
      <c r="D67" t="inlineStr">
        <is>
          <t>EC</t>
        </is>
      </c>
      <c r="E67" t="inlineStr">
        <is>
          <t>09/04/2026 13:20:23</t>
        </is>
      </c>
      <c r="F67" t="n">
        <v>29</v>
      </c>
      <c r="G67" t="n">
        <v>26</v>
      </c>
      <c r="H67" t="n">
        <v>2</v>
      </c>
    </row>
    <row r="68">
      <c r="A68" t="inlineStr">
        <is>
          <t>SHB10000270443</t>
        </is>
      </c>
      <c r="B68" t="inlineStr">
        <is>
          <t>7770108265436</t>
        </is>
      </c>
      <c r="C68" t="inlineStr">
        <is>
          <t>FIXIM DT 400MG X 6 COMP DISP CEFIXIMA</t>
        </is>
      </c>
      <c r="D68" t="inlineStr">
        <is>
          <t>EC</t>
        </is>
      </c>
      <c r="E68" t="inlineStr">
        <is>
          <t>09/04/2026 14:36:16</t>
        </is>
      </c>
      <c r="F68" t="n">
        <v>270</v>
      </c>
      <c r="G68" t="n">
        <v>144</v>
      </c>
      <c r="H68" t="n">
        <v>12</v>
      </c>
    </row>
    <row r="69">
      <c r="A69" t="inlineStr">
        <is>
          <t>SHB10000270444</t>
        </is>
      </c>
      <c r="B69" t="inlineStr">
        <is>
          <t>7770108267935</t>
        </is>
      </c>
      <c r="C69" t="inlineStr">
        <is>
          <t>VIDIMOX 0.5% COLIRIO X 5ML MOXIFLOXACINO</t>
        </is>
      </c>
      <c r="D69" t="inlineStr">
        <is>
          <t>EC</t>
        </is>
      </c>
      <c r="E69" t="inlineStr">
        <is>
          <t>09/04/2026 15:06:24</t>
        </is>
      </c>
      <c r="F69" t="n">
        <v>0</v>
      </c>
      <c r="G69" t="n">
        <v>0</v>
      </c>
      <c r="H69" t="n">
        <v>1</v>
      </c>
    </row>
    <row r="70">
      <c r="A70" t="inlineStr">
        <is>
          <t>SHB10000270444</t>
        </is>
      </c>
      <c r="B70" t="inlineStr">
        <is>
          <t>7770108268420</t>
        </is>
      </c>
      <c r="C70" t="inlineStr">
        <is>
          <t>VIDILOW B SP COLIRIO X 6ML (ANTIGLAUCOMA)</t>
        </is>
      </c>
      <c r="D70" t="inlineStr">
        <is>
          <t>EC</t>
        </is>
      </c>
      <c r="E70" t="inlineStr">
        <is>
          <t>09/04/2026 15:04:15</t>
        </is>
      </c>
      <c r="F70" t="n">
        <v>67</v>
      </c>
      <c r="G70" t="n">
        <v>55</v>
      </c>
      <c r="H70" t="n">
        <v>2</v>
      </c>
    </row>
    <row r="71">
      <c r="A71" t="inlineStr">
        <is>
          <t>SHB10000270473</t>
        </is>
      </c>
      <c r="B71" t="inlineStr">
        <is>
          <t>7770108269175</t>
        </is>
      </c>
      <c r="C71" t="inlineStr">
        <is>
          <t>ESPASMO LOXADIM IM-IV X16 DOSIS/2 AMP PROPIN/DIPIR</t>
        </is>
      </c>
      <c r="D71" t="inlineStr">
        <is>
          <t>EC</t>
        </is>
      </c>
      <c r="E71" t="inlineStr">
        <is>
          <t>09/04/2026 14:26:35</t>
        </is>
      </c>
      <c r="F71" t="n">
        <v>80</v>
      </c>
      <c r="G71" t="n">
        <v>52</v>
      </c>
      <c r="H71" t="n">
        <v>3</v>
      </c>
    </row>
    <row r="72">
      <c r="A72" t="inlineStr">
        <is>
          <t>SHB10000270490</t>
        </is>
      </c>
      <c r="B72" t="inlineStr">
        <is>
          <t>7770108263913</t>
        </is>
      </c>
      <c r="C72" t="inlineStr">
        <is>
          <t>SEPTIQUIN F X 30 CAP CIPROFLOXACINA/FENAZOPIRIDINA</t>
        </is>
      </c>
      <c r="D72" t="inlineStr">
        <is>
          <t>EC</t>
        </is>
      </c>
      <c r="E72" t="inlineStr">
        <is>
          <t>09/04/2026 11:20:43</t>
        </is>
      </c>
      <c r="F72" t="n">
        <v>1140</v>
      </c>
      <c r="G72" t="n">
        <v>840</v>
      </c>
      <c r="H72" t="n">
        <v>60</v>
      </c>
    </row>
    <row r="73">
      <c r="A73" t="inlineStr">
        <is>
          <t>SHB10000270490</t>
        </is>
      </c>
      <c r="B73" t="inlineStr">
        <is>
          <t>7770108264187</t>
        </is>
      </c>
      <c r="C73" t="inlineStr">
        <is>
          <t>PLATELET 250MG IM-IV X 4 AMP/2ML ETAMSILATO</t>
        </is>
      </c>
      <c r="D73" t="inlineStr">
        <is>
          <t>EC</t>
        </is>
      </c>
      <c r="E73" t="inlineStr">
        <is>
          <t>09/04/2026 11:08:00</t>
        </is>
      </c>
      <c r="F73" t="n">
        <v>104</v>
      </c>
      <c r="G73" t="n">
        <v>12</v>
      </c>
      <c r="H73" t="n">
        <v>12</v>
      </c>
    </row>
    <row r="74">
      <c r="A74" t="inlineStr">
        <is>
          <t>SHB10000270494</t>
        </is>
      </c>
      <c r="B74" t="inlineStr">
        <is>
          <t>7891010256449</t>
        </is>
      </c>
      <c r="C74" t="inlineStr">
        <is>
          <t>NEUTROGENA SUN FRESH PROT FACIAL FPS50 X 40ML S/COLOR</t>
        </is>
      </c>
      <c r="D74" t="inlineStr">
        <is>
          <t>EC</t>
        </is>
      </c>
      <c r="E74" t="inlineStr">
        <is>
          <t>09/04/2026 17:42:38</t>
        </is>
      </c>
      <c r="F74" t="n">
        <v>150</v>
      </c>
      <c r="G74" t="n">
        <v>148</v>
      </c>
      <c r="H74" t="n">
        <v>44</v>
      </c>
    </row>
    <row r="75">
      <c r="A75" t="inlineStr">
        <is>
          <t>SHB10000270519</t>
        </is>
      </c>
      <c r="B75" t="inlineStr">
        <is>
          <t>7779970480381</t>
        </is>
      </c>
      <c r="C75" t="inlineStr">
        <is>
          <t>KILLER VARITAS REPELENTES LATA X 14UND LAVANDA</t>
        </is>
      </c>
      <c r="D75" t="inlineStr">
        <is>
          <t>EC</t>
        </is>
      </c>
      <c r="E75" t="inlineStr">
        <is>
          <t>09/04/2026 13:31:47</t>
        </is>
      </c>
      <c r="F75" t="n">
        <v>0</v>
      </c>
      <c r="G75" t="n">
        <v>0</v>
      </c>
      <c r="H75" t="n">
        <v>1</v>
      </c>
    </row>
    <row r="76">
      <c r="A76" t="inlineStr">
        <is>
          <t>SHB10000270614</t>
        </is>
      </c>
      <c r="B76" t="inlineStr">
        <is>
          <t>4022679142306</t>
        </is>
      </c>
      <c r="C76" t="inlineStr">
        <is>
          <t>VITAMINA C  ZINC TBO X 20 TAB EFERV (NUTRAZUL)</t>
        </is>
      </c>
      <c r="D76" t="inlineStr">
        <is>
          <t>EC</t>
        </is>
      </c>
      <c r="E76" t="inlineStr">
        <is>
          <t>13/04/2026 14:20:52</t>
        </is>
      </c>
      <c r="F76" t="n">
        <v>3848</v>
      </c>
      <c r="G76" t="n">
        <v>3283</v>
      </c>
      <c r="H76" t="n">
        <v>3</v>
      </c>
    </row>
    <row r="77">
      <c r="A77" t="inlineStr">
        <is>
          <t>SHB10000270619</t>
        </is>
      </c>
      <c r="B77" t="inlineStr">
        <is>
          <t>4030539164764</t>
        </is>
      </c>
      <c r="C77" t="inlineStr">
        <is>
          <t>PROPOFOL-LIPURO 1% 200MG IV X 5 AMP/20ML(R/MED)</t>
        </is>
      </c>
      <c r="D77" t="inlineStr">
        <is>
          <t>EC</t>
        </is>
      </c>
      <c r="E77" t="inlineStr">
        <is>
          <t>13/04/2026 18:00:41</t>
        </is>
      </c>
      <c r="F77" t="n">
        <v>110</v>
      </c>
      <c r="G77" t="n">
        <v>95</v>
      </c>
      <c r="H77" t="n">
        <v>24</v>
      </c>
    </row>
    <row r="78">
      <c r="A78" t="inlineStr">
        <is>
          <t>SHB10000270864</t>
        </is>
      </c>
      <c r="B78" t="inlineStr">
        <is>
          <t>701036</t>
        </is>
      </c>
      <c r="C78" t="inlineStr">
        <is>
          <t>EQUIPO P/SUERO VENOCLISIS SIN/AGUJA NIPRO (HP)</t>
        </is>
      </c>
      <c r="D78" t="inlineStr">
        <is>
          <t>EC</t>
        </is>
      </c>
      <c r="E78" t="inlineStr">
        <is>
          <t>15/04/2026 10:29:38</t>
        </is>
      </c>
      <c r="F78" t="n">
        <v>3000</v>
      </c>
      <c r="G78" t="n">
        <v>3000</v>
      </c>
      <c r="H78" t="n">
        <v>966</v>
      </c>
    </row>
    <row r="79">
      <c r="A79" t="inlineStr">
        <is>
          <t>SHB10000270905</t>
        </is>
      </c>
      <c r="B79" t="inlineStr">
        <is>
          <t>4030539164764</t>
        </is>
      </c>
      <c r="C79" t="inlineStr">
        <is>
          <t>PROPOFOL-LIPURO 1% 200MG IV X 5 AMP/20ML(R/MED)</t>
        </is>
      </c>
      <c r="D79" t="inlineStr">
        <is>
          <t>EC</t>
        </is>
      </c>
      <c r="E79" t="inlineStr">
        <is>
          <t>15/04/2026 09:57:05</t>
        </is>
      </c>
      <c r="F79" t="n">
        <v>24</v>
      </c>
      <c r="G79" t="n">
        <v>15</v>
      </c>
      <c r="H79" t="n">
        <v>24</v>
      </c>
    </row>
    <row r="80">
      <c r="A80" t="inlineStr">
        <is>
          <t>SHB10000270921</t>
        </is>
      </c>
      <c r="B80" t="inlineStr">
        <is>
          <t>7703153028305</t>
        </is>
      </c>
      <c r="C80" t="inlineStr">
        <is>
          <t>FORTZINK 10MG/ML GTA X 30ML ZINC</t>
        </is>
      </c>
      <c r="D80" t="inlineStr">
        <is>
          <t>EC</t>
        </is>
      </c>
      <c r="E80" t="inlineStr">
        <is>
          <t>15/04/2026 11:58:46</t>
        </is>
      </c>
      <c r="F80" t="n">
        <v>16</v>
      </c>
      <c r="G80" t="n">
        <v>14</v>
      </c>
      <c r="H80" t="n">
        <v>16</v>
      </c>
    </row>
    <row r="81">
      <c r="A81" t="inlineStr">
        <is>
          <t>SHB10000271039</t>
        </is>
      </c>
      <c r="B81" t="inlineStr">
        <is>
          <t>701036</t>
        </is>
      </c>
      <c r="C81" t="inlineStr">
        <is>
          <t>EQUIPO P/SUERO VENOCLISIS SIN/AGUJA NIPRO (HP)</t>
        </is>
      </c>
      <c r="D81" t="inlineStr">
        <is>
          <t>EC</t>
        </is>
      </c>
      <c r="E81" t="inlineStr">
        <is>
          <t>17/04/2026 18:09:22</t>
        </is>
      </c>
      <c r="F81" t="n">
        <v>4000</v>
      </c>
      <c r="G81" t="n">
        <v>4000</v>
      </c>
      <c r="H81" t="n">
        <v>966</v>
      </c>
    </row>
    <row r="82">
      <c r="A82" t="inlineStr">
        <is>
          <t>SHB10000271142</t>
        </is>
      </c>
      <c r="B82" t="inlineStr">
        <is>
          <t>7779970830513</t>
        </is>
      </c>
      <c r="C82" t="inlineStr">
        <is>
          <t>OLA AROMATIC LIMPIADOR LAVANDA RELAJANTE X 5LT</t>
        </is>
      </c>
      <c r="D82" t="inlineStr">
        <is>
          <t>EC</t>
        </is>
      </c>
      <c r="E82" t="inlineStr">
        <is>
          <t>17/04/2026 16:41:44</t>
        </is>
      </c>
      <c r="F82" t="n">
        <v>14</v>
      </c>
      <c r="G82" t="n">
        <v>14</v>
      </c>
      <c r="H82" t="n">
        <v>3</v>
      </c>
    </row>
    <row r="83">
      <c r="A83" t="inlineStr">
        <is>
          <t>SHB10000270522</t>
        </is>
      </c>
      <c r="B83" t="inlineStr">
        <is>
          <t>7500810023754</t>
        </is>
      </c>
      <c r="C83" t="inlineStr">
        <is>
          <t>TAKIS ORIGINAL BOLSA X 56 GR SABOR TACO</t>
        </is>
      </c>
      <c r="D83" t="inlineStr">
        <is>
          <t>RF</t>
        </is>
      </c>
      <c r="E83" t="inlineStr">
        <is>
          <t>15/04/2026 13:23:15</t>
        </is>
      </c>
      <c r="F83" t="n">
        <v>2</v>
      </c>
      <c r="G83" t="n">
        <v>2</v>
      </c>
      <c r="H83" t="n">
        <v>2</v>
      </c>
    </row>
    <row r="84">
      <c r="A84" t="inlineStr">
        <is>
          <t>SHB10000270522</t>
        </is>
      </c>
      <c r="B84" t="inlineStr">
        <is>
          <t>7500810023761</t>
        </is>
      </c>
      <c r="C84" t="inlineStr">
        <is>
          <t>TAKIS FUEGO BOLSA X 240 GR SABOR AJI Y LIMON</t>
        </is>
      </c>
      <c r="D84" t="inlineStr">
        <is>
          <t>RF</t>
        </is>
      </c>
      <c r="E84" t="inlineStr">
        <is>
          <t>15/04/2026 13:06:19</t>
        </is>
      </c>
      <c r="F84" t="n">
        <v>13</v>
      </c>
      <c r="G84" t="n">
        <v>13</v>
      </c>
      <c r="H84" t="n">
        <v>13</v>
      </c>
    </row>
    <row r="85">
      <c r="A85" t="inlineStr">
        <is>
          <t>SHB10000270522</t>
        </is>
      </c>
      <c r="B85" t="inlineStr">
        <is>
          <t>7500810023778</t>
        </is>
      </c>
      <c r="C85" t="inlineStr">
        <is>
          <t>TAKIS FUEGO BOLSA X 28 GR SABOR AJI Y LIMON</t>
        </is>
      </c>
      <c r="D85" t="inlineStr">
        <is>
          <t>RF</t>
        </is>
      </c>
      <c r="E85" t="inlineStr">
        <is>
          <t>15/04/2026 13:22:55</t>
        </is>
      </c>
      <c r="F85" t="n">
        <v>4</v>
      </c>
      <c r="G85" t="n">
        <v>2</v>
      </c>
      <c r="H85" t="n">
        <v>4</v>
      </c>
    </row>
    <row r="86">
      <c r="A86" t="inlineStr">
        <is>
          <t>SHB10000270522</t>
        </is>
      </c>
      <c r="B86" t="inlineStr">
        <is>
          <t>7771621380170</t>
        </is>
      </c>
      <c r="C86" t="inlineStr">
        <is>
          <t>ACTIVADE BEBIDA ISOTONICA X 600ML FRAMBUESA</t>
        </is>
      </c>
      <c r="D86" t="inlineStr">
        <is>
          <t>RF</t>
        </is>
      </c>
      <c r="E86" t="inlineStr">
        <is>
          <t>15/04/2026 15:27:07</t>
        </is>
      </c>
      <c r="F86" t="n">
        <v>48</v>
      </c>
      <c r="G86" t="n">
        <v>12</v>
      </c>
      <c r="H86" t="n">
        <v>12</v>
      </c>
    </row>
    <row r="87">
      <c r="A87" t="inlineStr">
        <is>
          <t>SHB10000270522</t>
        </is>
      </c>
      <c r="B87" t="inlineStr">
        <is>
          <t>7771621380200</t>
        </is>
      </c>
      <c r="C87" t="inlineStr">
        <is>
          <t>ACTIVADE BEBIDA HIDRATANTE X 600ML MORA</t>
        </is>
      </c>
      <c r="D87" t="inlineStr">
        <is>
          <t>RF</t>
        </is>
      </c>
      <c r="E87" t="inlineStr">
        <is>
          <t>15/04/2026 15:18:54</t>
        </is>
      </c>
      <c r="F87" t="n">
        <v>174</v>
      </c>
      <c r="G87" t="n">
        <v>174</v>
      </c>
      <c r="H87" t="n">
        <v>174</v>
      </c>
    </row>
    <row r="88">
      <c r="A88" t="inlineStr">
        <is>
          <t>SHB10000270522</t>
        </is>
      </c>
      <c r="B88" t="inlineStr">
        <is>
          <t>7771621380224</t>
        </is>
      </c>
      <c r="C88" t="inlineStr">
        <is>
          <t>ACTIVADE PACK BEBIDA ISOTONICA 2 X 600ML</t>
        </is>
      </c>
      <c r="D88" t="inlineStr">
        <is>
          <t>RF</t>
        </is>
      </c>
      <c r="E88" t="inlineStr">
        <is>
          <t>15/04/2026 13:31:43</t>
        </is>
      </c>
      <c r="F88" t="n">
        <v>291</v>
      </c>
      <c r="G88" t="n">
        <v>291</v>
      </c>
      <c r="H88" t="n">
        <v>282</v>
      </c>
    </row>
    <row r="89">
      <c r="A89" t="inlineStr">
        <is>
          <t>SHB10000270522</t>
        </is>
      </c>
      <c r="B89" t="inlineStr">
        <is>
          <t>7771621380378</t>
        </is>
      </c>
      <c r="C89" t="inlineStr">
        <is>
          <t>ACTIVADE BEBIDA ISOTONICA X 1LT FRUTILLA</t>
        </is>
      </c>
      <c r="D89" t="inlineStr">
        <is>
          <t>RF</t>
        </is>
      </c>
      <c r="E89" t="inlineStr">
        <is>
          <t>15/04/2026 11:14:37</t>
        </is>
      </c>
      <c r="F89" t="n">
        <v>361</v>
      </c>
      <c r="G89" t="n">
        <v>361</v>
      </c>
      <c r="H89" t="n">
        <v>355</v>
      </c>
    </row>
    <row r="90">
      <c r="A90" t="inlineStr">
        <is>
          <t>SHB10000270522</t>
        </is>
      </c>
      <c r="B90" t="inlineStr">
        <is>
          <t>7771621380675</t>
        </is>
      </c>
      <c r="C90" t="inlineStr">
        <is>
          <t>ACTIVADE ZERO BEBIDA HIDRATANTE X 600ML BOOST MANGO</t>
        </is>
      </c>
      <c r="D90" t="inlineStr">
        <is>
          <t>RF</t>
        </is>
      </c>
      <c r="E90" t="inlineStr">
        <is>
          <t>15/04/2026 15:30:13</t>
        </is>
      </c>
      <c r="F90" t="n">
        <v>1</v>
      </c>
      <c r="G90" t="n">
        <v>1</v>
      </c>
      <c r="H90" t="n">
        <v>1</v>
      </c>
    </row>
    <row r="91">
      <c r="A91" t="inlineStr">
        <is>
          <t>SHB10000270522</t>
        </is>
      </c>
      <c r="B91" t="inlineStr">
        <is>
          <t>7771621380705</t>
        </is>
      </c>
      <c r="C91" t="inlineStr">
        <is>
          <t>ACTIVADE BEBIDA HIDRATANTE X 1LT MORA</t>
        </is>
      </c>
      <c r="D91" t="inlineStr">
        <is>
          <t>RF</t>
        </is>
      </c>
      <c r="E91" t="inlineStr">
        <is>
          <t>15/04/2026 15:28:51</t>
        </is>
      </c>
      <c r="F91" t="n">
        <v>36</v>
      </c>
      <c r="G91" t="n">
        <v>36</v>
      </c>
      <c r="H91" t="n">
        <v>30</v>
      </c>
    </row>
    <row r="92">
      <c r="A92" t="inlineStr">
        <is>
          <t>SHB10000270522</t>
        </is>
      </c>
      <c r="B92" t="inlineStr">
        <is>
          <t>7778608490075</t>
        </is>
      </c>
      <c r="C92" t="inlineStr">
        <is>
          <t>ACTIVADE PACK BEBIDA ISOTONICA 2 X 1 LT.</t>
        </is>
      </c>
      <c r="D92" t="inlineStr">
        <is>
          <t>RF</t>
        </is>
      </c>
      <c r="E92" t="inlineStr">
        <is>
          <t>15/04/2026 15:24:43</t>
        </is>
      </c>
      <c r="F92" t="n">
        <v>70</v>
      </c>
      <c r="G92" t="n">
        <v>70</v>
      </c>
      <c r="H92" t="n">
        <v>67</v>
      </c>
    </row>
    <row r="93">
      <c r="A93" t="inlineStr">
        <is>
          <t>SHB10000270522</t>
        </is>
      </c>
      <c r="B93" t="inlineStr">
        <is>
          <t>830207100001</t>
        </is>
      </c>
      <c r="C93" t="inlineStr">
        <is>
          <t>CICLON PERFORMANCE DRINK X 500ML BOTELLA</t>
        </is>
      </c>
      <c r="D93" t="inlineStr">
        <is>
          <t>RF</t>
        </is>
      </c>
      <c r="E93" t="inlineStr">
        <is>
          <t>15/04/2026 14:30:52</t>
        </is>
      </c>
      <c r="F93" t="n">
        <v>149</v>
      </c>
      <c r="G93" t="n">
        <v>149</v>
      </c>
      <c r="H93" t="n">
        <v>143</v>
      </c>
    </row>
    <row r="94">
      <c r="A94" t="inlineStr">
        <is>
          <t>SHB10000270938</t>
        </is>
      </c>
      <c r="B94" t="inlineStr">
        <is>
          <t>106401</t>
        </is>
      </c>
      <c r="C94" t="inlineStr">
        <is>
          <t>ALGODON FARMACORP X 10GR V</t>
        </is>
      </c>
      <c r="D94" t="inlineStr">
        <is>
          <t>RF</t>
        </is>
      </c>
      <c r="E94" t="inlineStr">
        <is>
          <t>15/04/2026 13:39:06</t>
        </is>
      </c>
      <c r="F94" t="n">
        <v>3507</v>
      </c>
      <c r="G94" t="n">
        <v>2907</v>
      </c>
      <c r="H94" t="n">
        <v>3607</v>
      </c>
    </row>
    <row r="95">
      <c r="A95" t="inlineStr">
        <is>
          <t>SHB10000270946</t>
        </is>
      </c>
      <c r="B95" t="inlineStr">
        <is>
          <t>7892840819187</t>
        </is>
      </c>
      <c r="C95" t="inlineStr">
        <is>
          <t>TODDY ORIGINAL CHOCOLATE X 1.8KG</t>
        </is>
      </c>
      <c r="D95" t="inlineStr">
        <is>
          <t>RF</t>
        </is>
      </c>
      <c r="E95" t="inlineStr">
        <is>
          <t>15/04/2026 16:19:43</t>
        </is>
      </c>
      <c r="F95" t="n">
        <v>94</v>
      </c>
      <c r="G95" t="n">
        <v>85</v>
      </c>
      <c r="H95" t="n">
        <v>95</v>
      </c>
    </row>
    <row r="96">
      <c r="A96" t="inlineStr">
        <is>
          <t>SHB10000270946</t>
        </is>
      </c>
      <c r="B96" t="inlineStr">
        <is>
          <t>7892840819514</t>
        </is>
      </c>
      <c r="C96" t="inlineStr">
        <is>
          <t>TODDY ORIGINAL X 370GR CHOCOLATE EN POLVO</t>
        </is>
      </c>
      <c r="D96" t="inlineStr">
        <is>
          <t>RF</t>
        </is>
      </c>
      <c r="E96" t="inlineStr">
        <is>
          <t>15/04/2026 16:13:26</t>
        </is>
      </c>
      <c r="F96" t="n">
        <v>6</v>
      </c>
      <c r="G96" t="n">
        <v>2</v>
      </c>
      <c r="H96" t="n">
        <v>6</v>
      </c>
    </row>
    <row r="97">
      <c r="A97" t="inlineStr">
        <is>
          <t>SHB10000270963</t>
        </is>
      </c>
      <c r="B97" t="inlineStr">
        <is>
          <t>7771817640040</t>
        </is>
      </c>
      <c r="C97" t="inlineStr">
        <is>
          <t>AMATE TE FRIO NEGRO/MENTA/MARACUY X 500ML C/STEVIA</t>
        </is>
      </c>
      <c r="D97" t="inlineStr">
        <is>
          <t>RF</t>
        </is>
      </c>
      <c r="E97" t="inlineStr">
        <is>
          <t>15/04/2026 14:46:46</t>
        </is>
      </c>
      <c r="F97" t="n">
        <v>1</v>
      </c>
      <c r="G97" t="n">
        <v>1</v>
      </c>
      <c r="H97" t="n">
        <v>1</v>
      </c>
    </row>
    <row r="98">
      <c r="A98" t="inlineStr">
        <is>
          <t>SHB10000270963</t>
        </is>
      </c>
      <c r="B98" t="inlineStr">
        <is>
          <t>7771817640088</t>
        </is>
      </c>
      <c r="C98" t="inlineStr">
        <is>
          <t>AMATE TE FRIO REINVENTATE X 500ML FLOR DE JAMAICA</t>
        </is>
      </c>
      <c r="D98" t="inlineStr">
        <is>
          <t>RF</t>
        </is>
      </c>
      <c r="E98" t="inlineStr">
        <is>
          <t>15/04/2026 14:53:10</t>
        </is>
      </c>
      <c r="F98" t="n">
        <v>521</v>
      </c>
      <c r="G98" t="n">
        <v>519</v>
      </c>
      <c r="H98" t="n">
        <v>509</v>
      </c>
    </row>
    <row r="99">
      <c r="A99" t="inlineStr">
        <is>
          <t>(En Blanco)</t>
        </is>
      </c>
      <c r="B99" t="inlineStr">
        <is>
          <t>106401</t>
        </is>
      </c>
      <c r="C99" t="inlineStr">
        <is>
          <t>ALGODON FARMACORP X 10GR V</t>
        </is>
      </c>
      <c r="D99" t="inlineStr">
        <is>
          <t>(En Blanco)</t>
        </is>
      </c>
      <c r="E99" t="inlineStr">
        <is>
          <t>11/04/2026 15:01:45</t>
        </is>
      </c>
      <c r="F99" t="n">
        <v>0</v>
      </c>
      <c r="G99" t="n">
        <v>0</v>
      </c>
      <c r="H99" t="n">
        <v>3607</v>
      </c>
    </row>
    <row r="100">
      <c r="A100" t="inlineStr">
        <is>
          <t>(En Blanco)</t>
        </is>
      </c>
      <c r="B100" t="inlineStr">
        <is>
          <t>67238891190</t>
        </is>
      </c>
      <c r="C100" t="inlineStr">
        <is>
          <t>DOVE JABON X 135GR BLANCO</t>
        </is>
      </c>
      <c r="D100" t="inlineStr">
        <is>
          <t>(En Blanco)</t>
        </is>
      </c>
      <c r="E100" t="inlineStr">
        <is>
          <t>13/04/2026 14:21:59</t>
        </is>
      </c>
      <c r="F100" t="n">
        <v>0</v>
      </c>
      <c r="G100" t="n">
        <v>1</v>
      </c>
      <c r="H100" t="n">
        <v>1</v>
      </c>
    </row>
    <row r="101">
      <c r="A101" t="inlineStr">
        <is>
          <t>(En Blanco)</t>
        </is>
      </c>
      <c r="B101" t="inlineStr">
        <is>
          <t>700607</t>
        </is>
      </c>
      <c r="C101" t="inlineStr">
        <is>
          <t>COLECTOR DE ORINA TRANS X 120/100/80ML STERIL (HP)</t>
        </is>
      </c>
      <c r="D101" t="inlineStr">
        <is>
          <t>(En Blanco)</t>
        </is>
      </c>
      <c r="E101" t="inlineStr">
        <is>
          <t>11/04/2026 15:32:43</t>
        </is>
      </c>
      <c r="F101" t="n">
        <v>0</v>
      </c>
      <c r="G101" t="n">
        <v>0</v>
      </c>
      <c r="H101" t="n">
        <v>3</v>
      </c>
    </row>
    <row r="102">
      <c r="A102" t="inlineStr">
        <is>
          <t>(En Blanco)</t>
        </is>
      </c>
      <c r="B102" t="inlineStr">
        <is>
          <t>745073</t>
        </is>
      </c>
      <c r="C102" t="inlineStr">
        <is>
          <t>SILDENAFIL 100MG X 40 TAB GENERICO</t>
        </is>
      </c>
      <c r="D102" t="inlineStr">
        <is>
          <t>(En Blanco)</t>
        </is>
      </c>
      <c r="E102" t="inlineStr">
        <is>
          <t>14/04/2026 12:11:57</t>
        </is>
      </c>
      <c r="F102" t="n">
        <v>0</v>
      </c>
      <c r="G102" t="n">
        <v>36</v>
      </c>
      <c r="H102" t="n">
        <v>40</v>
      </c>
    </row>
    <row r="103">
      <c r="A103" t="inlineStr">
        <is>
          <t>(En Blanco)</t>
        </is>
      </c>
      <c r="B103" t="inlineStr">
        <is>
          <t>7500810023754</t>
        </is>
      </c>
      <c r="C103" t="inlineStr">
        <is>
          <t>TAKIS ORIGINAL BOLSA X 56 GR SABOR TACO</t>
        </is>
      </c>
      <c r="D103" t="inlineStr">
        <is>
          <t>(En Blanco)</t>
        </is>
      </c>
      <c r="E103" t="inlineStr">
        <is>
          <t>04/04/2026 14:02:16</t>
        </is>
      </c>
      <c r="F103" t="n">
        <v>0</v>
      </c>
      <c r="G103" t="n">
        <v>0</v>
      </c>
      <c r="H103" t="n">
        <v>2</v>
      </c>
    </row>
    <row r="104">
      <c r="A104" t="inlineStr">
        <is>
          <t>(En Blanco)</t>
        </is>
      </c>
      <c r="B104" t="inlineStr">
        <is>
          <t>7500810023761</t>
        </is>
      </c>
      <c r="C104" t="inlineStr">
        <is>
          <t>TAKIS FUEGO BOLSA X 240 GR SABOR AJI Y LIMON</t>
        </is>
      </c>
      <c r="D104" t="inlineStr">
        <is>
          <t>(En Blanco)</t>
        </is>
      </c>
      <c r="E104" t="inlineStr">
        <is>
          <t>04/04/2026 10:30:25</t>
        </is>
      </c>
      <c r="F104" t="n">
        <v>0</v>
      </c>
      <c r="G104" t="n">
        <v>2</v>
      </c>
      <c r="H104" t="n">
        <v>13</v>
      </c>
    </row>
    <row r="105">
      <c r="A105" t="inlineStr">
        <is>
          <t>(En Blanco)</t>
        </is>
      </c>
      <c r="B105" t="inlineStr">
        <is>
          <t>7500810023778</t>
        </is>
      </c>
      <c r="C105" t="inlineStr">
        <is>
          <t>TAKIS FUEGO BOLSA X 28 GR SABOR AJI Y LIMON</t>
        </is>
      </c>
      <c r="D105" t="inlineStr">
        <is>
          <t>(En Blanco)</t>
        </is>
      </c>
      <c r="E105" t="inlineStr">
        <is>
          <t>10/04/2026 13:29:11</t>
        </is>
      </c>
      <c r="F105" t="n">
        <v>0</v>
      </c>
      <c r="G105" t="n">
        <v>1</v>
      </c>
      <c r="H105" t="n">
        <v>4</v>
      </c>
    </row>
    <row r="106">
      <c r="A106" t="inlineStr">
        <is>
          <t>(En Blanco)</t>
        </is>
      </c>
      <c r="B106" t="inlineStr">
        <is>
          <t>7730381003163</t>
        </is>
      </c>
      <c r="C106" t="inlineStr">
        <is>
          <t>TALIS UD 5MG X 30 COMP TADALAFILO</t>
        </is>
      </c>
      <c r="D106" t="inlineStr">
        <is>
          <t>(En Blanco)</t>
        </is>
      </c>
      <c r="E106" t="inlineStr">
        <is>
          <t>18/04/2026 11:16:11</t>
        </is>
      </c>
      <c r="F106" t="n">
        <v>0</v>
      </c>
      <c r="G106" t="n">
        <v>30</v>
      </c>
      <c r="H106" t="n">
        <v>30</v>
      </c>
    </row>
    <row r="107">
      <c r="A107" t="inlineStr">
        <is>
          <t>(En Blanco)</t>
        </is>
      </c>
      <c r="B107" t="inlineStr">
        <is>
          <t>7730963250084</t>
        </is>
      </c>
      <c r="C107" t="inlineStr">
        <is>
          <t>POSTPIL 1.5MG X 1 COMP LEVONORGESTREL</t>
        </is>
      </c>
      <c r="D107" t="inlineStr">
        <is>
          <t>(En Blanco)</t>
        </is>
      </c>
      <c r="E107" t="inlineStr">
        <is>
          <t>18/04/2026 12:14:59</t>
        </is>
      </c>
      <c r="F107" t="n">
        <v>0</v>
      </c>
      <c r="G107" t="n">
        <v>1</v>
      </c>
      <c r="H107" t="n">
        <v>1</v>
      </c>
    </row>
    <row r="108">
      <c r="A108" t="inlineStr">
        <is>
          <t>(En Blanco)</t>
        </is>
      </c>
      <c r="B108" t="inlineStr">
        <is>
          <t>7750168148962</t>
        </is>
      </c>
      <c r="C108" t="inlineStr">
        <is>
          <t>CHOCO SODA GALLETA X 39GR/36GR</t>
        </is>
      </c>
      <c r="D108" t="inlineStr">
        <is>
          <t>(En Blanco)</t>
        </is>
      </c>
      <c r="E108" t="inlineStr">
        <is>
          <t>04/04/2026 09:37:02</t>
        </is>
      </c>
      <c r="F108" t="n">
        <v>0</v>
      </c>
      <c r="G108" t="n">
        <v>7</v>
      </c>
      <c r="H108" t="n">
        <v>6</v>
      </c>
    </row>
    <row r="109">
      <c r="A109" t="inlineStr">
        <is>
          <t>(En Blanco)</t>
        </is>
      </c>
      <c r="B109" t="inlineStr">
        <is>
          <t>7771621380378</t>
        </is>
      </c>
      <c r="C109" t="inlineStr">
        <is>
          <t>ACTIVADE BEBIDA ISOTONICA X 1LT FRUTILLA</t>
        </is>
      </c>
      <c r="D109" t="inlineStr">
        <is>
          <t>(En Blanco)</t>
        </is>
      </c>
      <c r="E109" t="inlineStr">
        <is>
          <t>04/04/2026 09:32:46</t>
        </is>
      </c>
      <c r="F109" t="n">
        <v>0</v>
      </c>
      <c r="G109" t="n">
        <v>1</v>
      </c>
      <c r="H109" t="n">
        <v>355</v>
      </c>
    </row>
    <row r="110">
      <c r="A110" t="inlineStr">
        <is>
          <t>(En Blanco)</t>
        </is>
      </c>
      <c r="B110" t="inlineStr">
        <is>
          <t>7771621380675</t>
        </is>
      </c>
      <c r="C110" t="inlineStr">
        <is>
          <t>ACTIVADE ZERO BEBIDA HIDRATANTE X 600ML BOOST MANGO</t>
        </is>
      </c>
      <c r="D110" t="inlineStr">
        <is>
          <t>(En Blanco)</t>
        </is>
      </c>
      <c r="E110" t="inlineStr">
        <is>
          <t>04/04/2026 08:54:23</t>
        </is>
      </c>
      <c r="F110" t="n">
        <v>0</v>
      </c>
      <c r="G110" t="n">
        <v>0</v>
      </c>
      <c r="H110" t="n">
        <v>1</v>
      </c>
    </row>
    <row r="111">
      <c r="A111" t="inlineStr">
        <is>
          <t>(En Blanco)</t>
        </is>
      </c>
      <c r="B111" t="inlineStr">
        <is>
          <t>7771621380705</t>
        </is>
      </c>
      <c r="C111" t="inlineStr">
        <is>
          <t>ACTIVADE BEBIDA HIDRATANTE X 1LT MORA</t>
        </is>
      </c>
      <c r="D111" t="inlineStr">
        <is>
          <t>(En Blanco)</t>
        </is>
      </c>
      <c r="E111" t="inlineStr">
        <is>
          <t>04/04/2026 09:47:23</t>
        </is>
      </c>
      <c r="F111" t="n">
        <v>0</v>
      </c>
      <c r="G111" t="n">
        <v>0</v>
      </c>
      <c r="H111" t="n">
        <v>30</v>
      </c>
    </row>
    <row r="112">
      <c r="A112" t="inlineStr">
        <is>
          <t>(En Blanco)</t>
        </is>
      </c>
      <c r="B112" t="inlineStr">
        <is>
          <t>7771802001573</t>
        </is>
      </c>
      <c r="C112" t="inlineStr">
        <is>
          <t>CEYLAN MATE X 20 BLS SABOR MANZANILLA</t>
        </is>
      </c>
      <c r="D112" t="inlineStr">
        <is>
          <t>(En Blanco)</t>
        </is>
      </c>
      <c r="E112" t="inlineStr">
        <is>
          <t>07/04/2026 09:54:40</t>
        </is>
      </c>
      <c r="F112" t="n">
        <v>0</v>
      </c>
      <c r="G112" t="n">
        <v>0</v>
      </c>
      <c r="H112" t="n">
        <v>131</v>
      </c>
    </row>
    <row r="113">
      <c r="A113" t="inlineStr">
        <is>
          <t>(En Blanco)</t>
        </is>
      </c>
      <c r="B113" t="inlineStr">
        <is>
          <t>7771805000030</t>
        </is>
      </c>
      <c r="C113" t="inlineStr">
        <is>
          <t>COPACABANA CAFE PREMIUM MOLIDO DP X 250GR</t>
        </is>
      </c>
      <c r="D113" t="inlineStr">
        <is>
          <t>(En Blanco)</t>
        </is>
      </c>
      <c r="E113" t="inlineStr">
        <is>
          <t>04/04/2026 08:56:08</t>
        </is>
      </c>
      <c r="F113" t="n">
        <v>0</v>
      </c>
      <c r="G113" t="n">
        <v>4</v>
      </c>
      <c r="H113" t="n">
        <v>10</v>
      </c>
    </row>
    <row r="114">
      <c r="A114" t="inlineStr">
        <is>
          <t>(En Blanco)</t>
        </is>
      </c>
      <c r="B114" t="inlineStr">
        <is>
          <t>7771817640088</t>
        </is>
      </c>
      <c r="C114" t="inlineStr">
        <is>
          <t>AMATE TE FRIO REINVENTATE X 500ML FLOR DE JAMAICA</t>
        </is>
      </c>
      <c r="D114" t="inlineStr">
        <is>
          <t>(En Blanco)</t>
        </is>
      </c>
      <c r="E114" t="inlineStr">
        <is>
          <t>04/04/2026 09:22:11</t>
        </is>
      </c>
      <c r="F114" t="n">
        <v>0</v>
      </c>
      <c r="G114" t="n">
        <v>0</v>
      </c>
      <c r="H114" t="n">
        <v>509</v>
      </c>
    </row>
    <row r="115">
      <c r="A115" t="inlineStr">
        <is>
          <t>(En Blanco)</t>
        </is>
      </c>
      <c r="B115" t="inlineStr">
        <is>
          <t>7778608490075</t>
        </is>
      </c>
      <c r="C115" t="inlineStr">
        <is>
          <t>ACTIVADE PACK BEBIDA ISOTONICA 2 X 1 LT.</t>
        </is>
      </c>
      <c r="D115" t="inlineStr">
        <is>
          <t>(En Blanco)</t>
        </is>
      </c>
      <c r="E115" t="inlineStr">
        <is>
          <t>07/04/2026 17:37:48</t>
        </is>
      </c>
      <c r="F115" t="n">
        <v>0</v>
      </c>
      <c r="G115" t="n">
        <v>6</v>
      </c>
      <c r="H115" t="n">
        <v>67</v>
      </c>
    </row>
    <row r="116">
      <c r="A116" t="inlineStr">
        <is>
          <t>(En Blanco)</t>
        </is>
      </c>
      <c r="B116" t="inlineStr">
        <is>
          <t>7779970480381</t>
        </is>
      </c>
      <c r="C116" t="inlineStr">
        <is>
          <t>KILLER VARITAS REPELENTES LATA X 14UND LAVANDA</t>
        </is>
      </c>
      <c r="D116" t="inlineStr">
        <is>
          <t>(En Blanco)</t>
        </is>
      </c>
      <c r="E116" t="inlineStr">
        <is>
          <t>07/04/2026 14:29:23</t>
        </is>
      </c>
      <c r="F116" t="n">
        <v>0</v>
      </c>
      <c r="G116" t="n">
        <v>1</v>
      </c>
      <c r="H116" t="n">
        <v>1</v>
      </c>
    </row>
    <row r="117">
      <c r="A117" t="inlineStr">
        <is>
          <t>(En Blanco)</t>
        </is>
      </c>
      <c r="B117" t="inlineStr">
        <is>
          <t>78371113292</t>
        </is>
      </c>
      <c r="C117" t="inlineStr">
        <is>
          <t>GAFAS DE BIOSEGURIDAD 3M VIRTUA CLASIC CLARA DESC</t>
        </is>
      </c>
      <c r="D117" t="inlineStr">
        <is>
          <t>(En Blanco)</t>
        </is>
      </c>
      <c r="E117" t="inlineStr">
        <is>
          <t>10/04/2026 09:51:51</t>
        </is>
      </c>
      <c r="F117" t="n">
        <v>0</v>
      </c>
      <c r="G117" t="n">
        <v>1</v>
      </c>
      <c r="H117" t="n">
        <v>1</v>
      </c>
    </row>
    <row r="118">
      <c r="A118" t="inlineStr">
        <is>
          <t>(En Blanco)</t>
        </is>
      </c>
      <c r="B118" t="inlineStr">
        <is>
          <t>78371113308</t>
        </is>
      </c>
      <c r="C118" t="inlineStr">
        <is>
          <t>GAFAS DE BIOSEGURIDAD 3M VIRTUA CLASIC OSCURA DESC</t>
        </is>
      </c>
      <c r="D118" t="inlineStr">
        <is>
          <t>(En Blanco)</t>
        </is>
      </c>
      <c r="E118" t="inlineStr">
        <is>
          <t>10/04/2026 10:23:36</t>
        </is>
      </c>
      <c r="F118" t="n">
        <v>0</v>
      </c>
      <c r="G118" t="n">
        <v>2</v>
      </c>
      <c r="H118" t="n">
        <v>2</v>
      </c>
    </row>
    <row r="119">
      <c r="A119" t="inlineStr">
        <is>
          <t>(En Blanco)</t>
        </is>
      </c>
      <c r="B119" t="inlineStr">
        <is>
          <t>78371115593</t>
        </is>
      </c>
      <c r="C119" t="inlineStr">
        <is>
          <t>GAFAS DE BIOSEGURIDAD 3M VIRTUA PLUS LIGA CLARA DE</t>
        </is>
      </c>
      <c r="D119" t="inlineStr">
        <is>
          <t>(En Blanco)</t>
        </is>
      </c>
      <c r="E119" t="inlineStr">
        <is>
          <t>10/04/2026 11:09:18</t>
        </is>
      </c>
      <c r="F119" t="n">
        <v>0</v>
      </c>
      <c r="G119" t="n">
        <v>4</v>
      </c>
      <c r="H119" t="n">
        <v>4</v>
      </c>
    </row>
    <row r="120">
      <c r="A120" t="inlineStr">
        <is>
          <t>(En Blanco)</t>
        </is>
      </c>
      <c r="B120" t="inlineStr">
        <is>
          <t>7891008367027</t>
        </is>
      </c>
      <c r="C120" t="inlineStr">
        <is>
          <t>NO USAR BATON X 16GR CHOCOLATE LECHE  DISX30  133</t>
        </is>
      </c>
      <c r="D120" t="inlineStr">
        <is>
          <t>(En Blanco)</t>
        </is>
      </c>
      <c r="E120" t="inlineStr">
        <is>
          <t>04/04/2026 08:16:48</t>
        </is>
      </c>
      <c r="F120" t="n">
        <v>0</v>
      </c>
      <c r="G120" t="n">
        <v>30</v>
      </c>
      <c r="H120" t="n">
        <v>30</v>
      </c>
    </row>
    <row r="121">
      <c r="A121" t="inlineStr">
        <is>
          <t>(En Blanco)</t>
        </is>
      </c>
      <c r="B121" t="inlineStr">
        <is>
          <t>7908320401954</t>
        </is>
      </c>
      <c r="C121" t="inlineStr">
        <is>
          <t>PRIMOGATO PREMIUN ADULT X 3KG CARNE/POLLO/PESCADO</t>
        </is>
      </c>
      <c r="D121" t="inlineStr">
        <is>
          <t>(En Blanco)</t>
        </is>
      </c>
      <c r="E121" t="inlineStr">
        <is>
          <t>09/04/2026 08:59:13</t>
        </is>
      </c>
      <c r="F121" t="n">
        <v>0</v>
      </c>
      <c r="G121" t="n">
        <v>0</v>
      </c>
      <c r="H121" t="n">
        <v>1</v>
      </c>
    </row>
    <row r="122">
      <c r="A122" t="inlineStr">
        <is>
          <t>(En Blanco)</t>
        </is>
      </c>
      <c r="B122" t="inlineStr">
        <is>
          <t>8710103875871</t>
        </is>
      </c>
      <c r="C122" t="inlineStr">
        <is>
          <t>AVENT BIBERON NATURAL X 260ML 1M  SCF033/15 VERDE(DESC)</t>
        </is>
      </c>
      <c r="D122" t="inlineStr">
        <is>
          <t>(En Blanco)</t>
        </is>
      </c>
      <c r="E122" t="inlineStr">
        <is>
          <t>04/04/2026 13:39:58</t>
        </is>
      </c>
      <c r="F122" t="n">
        <v>0</v>
      </c>
      <c r="G122" t="n">
        <v>1</v>
      </c>
      <c r="H122" t="n">
        <v>1</v>
      </c>
    </row>
    <row r="123">
      <c r="A123" t="inlineStr">
        <is>
          <t>(En Blanco)</t>
        </is>
      </c>
      <c r="B123" t="inlineStr">
        <is>
          <t>900259</t>
        </is>
      </c>
      <c r="C123" t="inlineStr">
        <is>
          <t>WINDSOR TE PINA X 50 UNID(DESC)</t>
        </is>
      </c>
      <c r="D123" t="inlineStr">
        <is>
          <t>(En Blanco)</t>
        </is>
      </c>
      <c r="E123" t="inlineStr">
        <is>
          <t>04/04/2026 14:11:15</t>
        </is>
      </c>
      <c r="F123" t="n">
        <v>0</v>
      </c>
      <c r="G123" t="n">
        <v>1</v>
      </c>
      <c r="H1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2026-04-21T17:34:43Z</dcterms:created>
  <dcterms:modified xsi:type="dcterms:W3CDTF">2026-04-21T17:34:43Z</dcterms:modified>
</cp:coreProperties>
</file>