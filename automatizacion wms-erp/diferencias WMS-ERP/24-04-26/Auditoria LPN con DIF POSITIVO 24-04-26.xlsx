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"2497835"</f>
        <v/>
      </c>
      <c r="B2" t="inlineStr">
        <is>
          <t>38824</t>
        </is>
      </c>
      <c r="C2" t="inlineStr">
        <is>
          <t>VIDIZONA N FORTE COLIRIO X 6ML</t>
        </is>
      </c>
      <c r="D2" t="inlineStr">
        <is>
          <t>ET</t>
        </is>
      </c>
      <c r="E2" t="inlineStr">
        <is>
          <t>17/04/2026 11:14:56</t>
        </is>
      </c>
      <c r="F2" t="n">
        <v>1</v>
      </c>
      <c r="G2" t="n">
        <v>0</v>
      </c>
      <c r="H2" t="n">
        <v>1</v>
      </c>
    </row>
    <row r="3">
      <c r="A3">
        <f>"2499000"</f>
        <v/>
      </c>
      <c r="B3" t="inlineStr">
        <is>
          <t>38824</t>
        </is>
      </c>
      <c r="C3" t="inlineStr">
        <is>
          <t>VIDIZONA N FORTE COLIRIO X 6ML</t>
        </is>
      </c>
      <c r="D3" t="inlineStr">
        <is>
          <t>ET</t>
        </is>
      </c>
      <c r="E3" t="inlineStr">
        <is>
          <t>16/04/2026 10:41:09</t>
        </is>
      </c>
      <c r="F3" t="n">
        <v>1</v>
      </c>
      <c r="G3" t="n">
        <v>1</v>
      </c>
      <c r="H3" t="n">
        <v>1</v>
      </c>
    </row>
    <row r="4">
      <c r="A4">
        <f>"2499081"</f>
        <v/>
      </c>
      <c r="B4" t="inlineStr">
        <is>
          <t>7771011351384</t>
        </is>
      </c>
      <c r="C4" t="inlineStr">
        <is>
          <t>DEFLAZAN 6MG X 10 COMP DEFLAZACORT</t>
        </is>
      </c>
      <c r="D4" t="inlineStr">
        <is>
          <t>ET</t>
        </is>
      </c>
      <c r="E4" t="inlineStr">
        <is>
          <t>22/04/2026 17:56:20</t>
        </is>
      </c>
      <c r="F4" t="n">
        <v>10</v>
      </c>
      <c r="G4" t="n">
        <v>0</v>
      </c>
      <c r="H4" t="n">
        <v>40</v>
      </c>
    </row>
    <row r="5">
      <c r="A5">
        <f>"2499306"</f>
        <v/>
      </c>
      <c r="B5" t="inlineStr">
        <is>
          <t>7771011351384</t>
        </is>
      </c>
      <c r="C5" t="inlineStr">
        <is>
          <t>DEFLAZAN 6MG X 10 COMP DEFLAZACORT</t>
        </is>
      </c>
      <c r="D5" t="inlineStr">
        <is>
          <t>ET</t>
        </is>
      </c>
      <c r="E5" t="inlineStr">
        <is>
          <t>22/04/2026 14:09:02</t>
        </is>
      </c>
      <c r="F5" t="n">
        <v>10</v>
      </c>
      <c r="G5" t="n">
        <v>10</v>
      </c>
      <c r="H5" t="n">
        <v>40</v>
      </c>
    </row>
    <row r="6">
      <c r="A6">
        <f>"2499461"</f>
        <v/>
      </c>
      <c r="B6" t="inlineStr">
        <is>
          <t>38824</t>
        </is>
      </c>
      <c r="C6" t="inlineStr">
        <is>
          <t>VIDIZONA N FORTE COLIRIO X 6ML</t>
        </is>
      </c>
      <c r="D6" t="inlineStr">
        <is>
          <t>ET</t>
        </is>
      </c>
      <c r="E6" t="inlineStr">
        <is>
          <t>17/04/2026 10:06:17</t>
        </is>
      </c>
      <c r="F6" t="n">
        <v>1</v>
      </c>
      <c r="G6" t="n">
        <v>1</v>
      </c>
      <c r="H6" t="n">
        <v>1</v>
      </c>
    </row>
    <row r="7">
      <c r="A7">
        <f>"2499575"</f>
        <v/>
      </c>
      <c r="B7" t="inlineStr">
        <is>
          <t>7771011351384</t>
        </is>
      </c>
      <c r="C7" t="inlineStr">
        <is>
          <t>DEFLAZAN 6MG X 10 COMP DEFLAZACORT</t>
        </is>
      </c>
      <c r="D7" t="inlineStr">
        <is>
          <t>ET</t>
        </is>
      </c>
      <c r="E7" t="inlineStr">
        <is>
          <t>22/04/2026 14:41:02</t>
        </is>
      </c>
      <c r="F7" t="n">
        <v>20</v>
      </c>
      <c r="G7" t="n">
        <v>0</v>
      </c>
      <c r="H7" t="n">
        <v>40</v>
      </c>
    </row>
    <row r="8">
      <c r="A8">
        <f>"2499909"</f>
        <v/>
      </c>
      <c r="B8" t="inlineStr">
        <is>
          <t>38824</t>
        </is>
      </c>
      <c r="C8" t="inlineStr">
        <is>
          <t>VIDIZONA N FORTE COLIRIO X 6ML</t>
        </is>
      </c>
      <c r="D8" t="inlineStr">
        <is>
          <t>ET</t>
        </is>
      </c>
      <c r="E8" t="inlineStr">
        <is>
          <t>17/04/2026 11:12:49</t>
        </is>
      </c>
      <c r="F8" t="n">
        <v>3</v>
      </c>
      <c r="G8" t="n">
        <v>3</v>
      </c>
      <c r="H8" t="n">
        <v>1</v>
      </c>
    </row>
    <row r="9">
      <c r="A9">
        <f>"2499936"</f>
        <v/>
      </c>
      <c r="B9" t="inlineStr">
        <is>
          <t>38824</t>
        </is>
      </c>
      <c r="C9" t="inlineStr">
        <is>
          <t>VIDIZONA N FORTE COLIRIO X 6ML</t>
        </is>
      </c>
      <c r="D9" t="inlineStr">
        <is>
          <t>ET</t>
        </is>
      </c>
      <c r="E9" t="inlineStr">
        <is>
          <t>23/04/2026 15:21:12</t>
        </is>
      </c>
      <c r="F9" t="n">
        <v>1</v>
      </c>
      <c r="G9" t="n">
        <v>2</v>
      </c>
      <c r="H9" t="n">
        <v>1</v>
      </c>
    </row>
    <row r="10">
      <c r="A10">
        <f>"2499936"</f>
        <v/>
      </c>
      <c r="B10" t="inlineStr">
        <is>
          <t>7771011351384</t>
        </is>
      </c>
      <c r="C10" t="inlineStr">
        <is>
          <t>DEFLAZAN 6MG X 10 COMP DEFLAZACORT</t>
        </is>
      </c>
      <c r="D10" t="inlineStr">
        <is>
          <t>ET</t>
        </is>
      </c>
      <c r="E10" t="inlineStr">
        <is>
          <t>22/04/2026 16:39:06</t>
        </is>
      </c>
      <c r="F10" t="n">
        <v>10</v>
      </c>
      <c r="G10" t="n">
        <v>0</v>
      </c>
      <c r="H10" t="n">
        <v>40</v>
      </c>
    </row>
    <row r="11">
      <c r="A11">
        <f>"2500241"</f>
        <v/>
      </c>
      <c r="B11" t="inlineStr">
        <is>
          <t>38824</t>
        </is>
      </c>
      <c r="C11" t="inlineStr">
        <is>
          <t>VIDIZONA N FORTE COLIRIO X 6ML</t>
        </is>
      </c>
      <c r="D11" t="inlineStr">
        <is>
          <t>ET</t>
        </is>
      </c>
      <c r="E11" t="inlineStr">
        <is>
          <t>22/04/2026 15:52:49</t>
        </is>
      </c>
      <c r="F11" t="n">
        <v>1</v>
      </c>
      <c r="G11" t="n">
        <v>0</v>
      </c>
      <c r="H11" t="n">
        <v>1</v>
      </c>
    </row>
    <row r="12">
      <c r="A12">
        <f>"2500866"</f>
        <v/>
      </c>
      <c r="B12" t="inlineStr">
        <is>
          <t>38824</t>
        </is>
      </c>
      <c r="C12" t="inlineStr">
        <is>
          <t>VIDIZONA N FORTE COLIRIO X 6ML</t>
        </is>
      </c>
      <c r="D12" t="inlineStr">
        <is>
          <t>ET</t>
        </is>
      </c>
      <c r="E12" t="inlineStr">
        <is>
          <t>22/04/2026 16:19:09</t>
        </is>
      </c>
      <c r="F12" t="n">
        <v>3</v>
      </c>
      <c r="G12" t="n">
        <v>3</v>
      </c>
      <c r="H12" t="n">
        <v>1</v>
      </c>
    </row>
    <row r="13">
      <c r="A13">
        <f>"2502007"</f>
        <v/>
      </c>
      <c r="B13" t="inlineStr">
        <is>
          <t>7771011351384</t>
        </is>
      </c>
      <c r="C13" t="inlineStr">
        <is>
          <t>DEFLAZAN 6MG X 10 COMP DEFLAZACORT</t>
        </is>
      </c>
      <c r="D13" t="inlineStr">
        <is>
          <t>ET</t>
        </is>
      </c>
      <c r="E13" t="inlineStr">
        <is>
          <t>23/04/2026 15:16:55</t>
        </is>
      </c>
      <c r="F13" t="n">
        <v>10</v>
      </c>
      <c r="G13" t="n">
        <v>50</v>
      </c>
      <c r="H13" t="n">
        <v>40</v>
      </c>
    </row>
    <row r="14">
      <c r="A14">
        <f>"2502805"</f>
        <v/>
      </c>
      <c r="B14" t="inlineStr">
        <is>
          <t>38824</t>
        </is>
      </c>
      <c r="C14" t="inlineStr">
        <is>
          <t>VIDIZONA N FORTE COLIRIO X 6ML</t>
        </is>
      </c>
      <c r="D14" t="inlineStr">
        <is>
          <t>ET</t>
        </is>
      </c>
      <c r="E14" t="inlineStr">
        <is>
          <t>22/04/2026 14:00:16</t>
        </is>
      </c>
      <c r="F14" t="n">
        <v>1</v>
      </c>
      <c r="G14" t="n">
        <v>0</v>
      </c>
      <c r="H14" t="n">
        <v>1</v>
      </c>
    </row>
    <row r="15">
      <c r="A15">
        <f>"2503856"</f>
        <v/>
      </c>
      <c r="B15" t="inlineStr">
        <is>
          <t>38824</t>
        </is>
      </c>
      <c r="C15" t="inlineStr">
        <is>
          <t>VIDIZONA N FORTE COLIRIO X 6ML</t>
        </is>
      </c>
      <c r="D15" t="inlineStr">
        <is>
          <t>ET</t>
        </is>
      </c>
      <c r="E15" t="inlineStr">
        <is>
          <t>23/04/2026 17:44:01</t>
        </is>
      </c>
      <c r="F15" t="n">
        <v>1</v>
      </c>
      <c r="G15" t="n">
        <v>2</v>
      </c>
      <c r="H15" t="n">
        <v>1</v>
      </c>
    </row>
    <row r="16">
      <c r="A16" t="inlineStr">
        <is>
          <t>OSB30000098846</t>
        </is>
      </c>
      <c r="B16" t="inlineStr">
        <is>
          <t>3599946</t>
        </is>
      </c>
      <c r="C16" t="inlineStr">
        <is>
          <t>GLUCOSAMIN 12 POLVO X 350GR(DESC)</t>
        </is>
      </c>
      <c r="D16" t="inlineStr">
        <is>
          <t>ET</t>
        </is>
      </c>
      <c r="E16" t="inlineStr">
        <is>
          <t>17/04/2026 14:08:50</t>
        </is>
      </c>
      <c r="F16" t="n">
        <v>0</v>
      </c>
      <c r="G16" t="n">
        <v>1</v>
      </c>
      <c r="H16" t="n">
        <v>2</v>
      </c>
    </row>
    <row r="17">
      <c r="A17" t="inlineStr">
        <is>
          <t>SHB10000265547</t>
        </is>
      </c>
      <c r="B17" t="inlineStr">
        <is>
          <t>38824</t>
        </is>
      </c>
      <c r="C17" t="inlineStr">
        <is>
          <t>VIDIZONA N FORTE COLIRIO X 6ML</t>
        </is>
      </c>
      <c r="D17" t="inlineStr">
        <is>
          <t>EC</t>
        </is>
      </c>
      <c r="E17" t="inlineStr">
        <is>
          <t>11/04/2026 08:18:44</t>
        </is>
      </c>
      <c r="F17" t="n">
        <v>0</v>
      </c>
      <c r="G17" t="n">
        <v>0</v>
      </c>
      <c r="H17" t="n">
        <v>1</v>
      </c>
    </row>
    <row r="18">
      <c r="A18" t="inlineStr">
        <is>
          <t>SHB10000270035</t>
        </is>
      </c>
      <c r="B18" t="inlineStr">
        <is>
          <t>7730963250930</t>
        </is>
      </c>
      <c r="C18" t="inlineStr">
        <is>
          <t>LEVOPLANT 75MG X 2 IMPLANTES SUBDERMICOS LEVONORGESTREL</t>
        </is>
      </c>
      <c r="D18" t="inlineStr">
        <is>
          <t>EC</t>
        </is>
      </c>
      <c r="E18" t="inlineStr">
        <is>
          <t>02/04/2026 10:06:10</t>
        </is>
      </c>
      <c r="F18" t="n">
        <v>6</v>
      </c>
      <c r="G18" t="n">
        <v>6</v>
      </c>
      <c r="H18" t="n">
        <v>1</v>
      </c>
    </row>
    <row r="19">
      <c r="A19" t="inlineStr">
        <is>
          <t>SHB10000270104</t>
        </is>
      </c>
      <c r="B19" t="inlineStr">
        <is>
          <t>38824</t>
        </is>
      </c>
      <c r="C19" t="inlineStr">
        <is>
          <t>VIDIZONA N FORTE COLIRIO X 6ML</t>
        </is>
      </c>
      <c r="D19" t="inlineStr">
        <is>
          <t>EC</t>
        </is>
      </c>
      <c r="E19" t="inlineStr">
        <is>
          <t>06/04/2026 14:12:50</t>
        </is>
      </c>
      <c r="F19" t="n">
        <v>0</v>
      </c>
      <c r="G19" t="n">
        <v>0</v>
      </c>
      <c r="H19" t="n">
        <v>1</v>
      </c>
    </row>
    <row r="20">
      <c r="A20" t="inlineStr">
        <is>
          <t>SHB10000270108</t>
        </is>
      </c>
      <c r="B20" t="inlineStr">
        <is>
          <t>67238891190</t>
        </is>
      </c>
      <c r="C20" t="inlineStr">
        <is>
          <t>DOVE JABON X 135GR BLANCO</t>
        </is>
      </c>
      <c r="D20" t="inlineStr">
        <is>
          <t>EC</t>
        </is>
      </c>
      <c r="E20" t="inlineStr">
        <is>
          <t>06/04/2026 14:04:24</t>
        </is>
      </c>
      <c r="F20" t="n">
        <v>960</v>
      </c>
      <c r="G20" t="n">
        <v>60</v>
      </c>
      <c r="H20" t="n">
        <v>1</v>
      </c>
    </row>
    <row r="21">
      <c r="A21" t="inlineStr">
        <is>
          <t>SHB10000270444</t>
        </is>
      </c>
      <c r="B21" t="inlineStr">
        <is>
          <t>38824</t>
        </is>
      </c>
      <c r="C21" t="inlineStr">
        <is>
          <t>VIDIZONA N FORTE COLIRIO X 6ML</t>
        </is>
      </c>
      <c r="D21" t="inlineStr">
        <is>
          <t>EC</t>
        </is>
      </c>
      <c r="E21" t="inlineStr">
        <is>
          <t>09/04/2026 15:01:10</t>
        </is>
      </c>
      <c r="F21" t="n">
        <v>134</v>
      </c>
      <c r="G21" t="n">
        <v>76</v>
      </c>
      <c r="H21" t="n">
        <v>1</v>
      </c>
    </row>
    <row r="22">
      <c r="A22" t="inlineStr">
        <is>
          <t>SHB10000270491</t>
        </is>
      </c>
      <c r="B22" t="inlineStr">
        <is>
          <t>7771011351384</t>
        </is>
      </c>
      <c r="C22" t="inlineStr">
        <is>
          <t>DEFLAZAN 6MG X 10 COMP DEFLAZACORT</t>
        </is>
      </c>
      <c r="D22" t="inlineStr">
        <is>
          <t>EC</t>
        </is>
      </c>
      <c r="E22" t="inlineStr">
        <is>
          <t>09/04/2026 12:50:34</t>
        </is>
      </c>
      <c r="F22" t="n">
        <v>80</v>
      </c>
      <c r="G22" t="n">
        <v>10</v>
      </c>
      <c r="H22" t="n">
        <v>40</v>
      </c>
    </row>
    <row r="23">
      <c r="A23" t="inlineStr">
        <is>
          <t>SHB10000270494</t>
        </is>
      </c>
      <c r="B23" t="inlineStr">
        <is>
          <t>7891010256449</t>
        </is>
      </c>
      <c r="C23" t="inlineStr">
        <is>
          <t>NEUTROGENA SUN FRESH PROT FACIAL FPS50 X 40ML S/COLOR</t>
        </is>
      </c>
      <c r="D23" t="inlineStr">
        <is>
          <t>EC</t>
        </is>
      </c>
      <c r="E23" t="inlineStr">
        <is>
          <t>09/04/2026 17:42:18</t>
        </is>
      </c>
      <c r="F23" t="n">
        <v>132</v>
      </c>
      <c r="G23" t="n">
        <v>129</v>
      </c>
      <c r="H23" t="n">
        <v>44</v>
      </c>
    </row>
    <row r="24">
      <c r="A24" t="inlineStr">
        <is>
          <t>SHB10000270519</t>
        </is>
      </c>
      <c r="B24" t="inlineStr">
        <is>
          <t>7779970480381</t>
        </is>
      </c>
      <c r="C24" t="inlineStr">
        <is>
          <t>KILLER VARITAS REPELENTES LATA X 14UND LAVANDA</t>
        </is>
      </c>
      <c r="D24" t="inlineStr">
        <is>
          <t>EC</t>
        </is>
      </c>
      <c r="E24" t="inlineStr">
        <is>
          <t>09/04/2026 13:31:47</t>
        </is>
      </c>
      <c r="F24" t="n">
        <v>0</v>
      </c>
      <c r="G24" t="n">
        <v>0</v>
      </c>
      <c r="H24" t="n">
        <v>1</v>
      </c>
    </row>
    <row r="25">
      <c r="A25" t="inlineStr">
        <is>
          <t>SHB10000270566</t>
        </is>
      </c>
      <c r="B25" t="inlineStr">
        <is>
          <t>7772619002593</t>
        </is>
      </c>
      <c r="C25" t="inlineStr">
        <is>
          <t>LA SUPREMA GALLETAS SNACKS X 21GR ANIMALES</t>
        </is>
      </c>
      <c r="D25" t="inlineStr">
        <is>
          <t>EC</t>
        </is>
      </c>
      <c r="E25" t="inlineStr">
        <is>
          <t>10/04/2026 16:52:17</t>
        </is>
      </c>
      <c r="F25" t="n">
        <v>180</v>
      </c>
      <c r="G25" t="n">
        <v>118</v>
      </c>
      <c r="H25" t="n">
        <v>1</v>
      </c>
    </row>
    <row r="26">
      <c r="A26" t="inlineStr">
        <is>
          <t>SHB10000270614</t>
        </is>
      </c>
      <c r="B26" t="inlineStr">
        <is>
          <t>4022679142306</t>
        </is>
      </c>
      <c r="C26" t="inlineStr">
        <is>
          <t>VITAMINA C  ZINC TBO X 20 TAB EFERV (NUTRAZUL)</t>
        </is>
      </c>
      <c r="D26" t="inlineStr">
        <is>
          <t>EC</t>
        </is>
      </c>
      <c r="E26" t="inlineStr">
        <is>
          <t>13/04/2026 14:20:07</t>
        </is>
      </c>
      <c r="F26" t="n">
        <v>3704</v>
      </c>
      <c r="G26" t="n">
        <v>2358</v>
      </c>
      <c r="H26" t="n">
        <v>6</v>
      </c>
    </row>
    <row r="27">
      <c r="A27" t="inlineStr">
        <is>
          <t>SHB10000270767</t>
        </is>
      </c>
      <c r="B27" t="inlineStr">
        <is>
          <t>7750936065989</t>
        </is>
      </c>
      <c r="C27" t="inlineStr">
        <is>
          <t>REUMATREX 2.5MG X 100 TAB METOTREXATO (ONC)</t>
        </is>
      </c>
      <c r="D27" t="inlineStr">
        <is>
          <t>EC</t>
        </is>
      </c>
      <c r="E27" t="inlineStr">
        <is>
          <t>14/04/2026 10:26:00</t>
        </is>
      </c>
      <c r="F27" t="n">
        <v>1000</v>
      </c>
      <c r="G27" t="n">
        <v>1000</v>
      </c>
      <c r="H27" t="n">
        <v>1000</v>
      </c>
    </row>
    <row r="28">
      <c r="A28" t="inlineStr">
        <is>
          <t>SHB10000270921</t>
        </is>
      </c>
      <c r="B28" t="inlineStr">
        <is>
          <t>7703153028305</t>
        </is>
      </c>
      <c r="C28" t="inlineStr">
        <is>
          <t>FORTZINK 10MG/ML GTA X 30ML ZINC</t>
        </is>
      </c>
      <c r="D28" t="inlineStr">
        <is>
          <t>EC</t>
        </is>
      </c>
      <c r="E28" t="inlineStr">
        <is>
          <t>15/04/2026 11:58:46</t>
        </is>
      </c>
      <c r="F28" t="n">
        <v>16</v>
      </c>
      <c r="G28" t="n">
        <v>2</v>
      </c>
      <c r="H28" t="n">
        <v>6</v>
      </c>
    </row>
    <row r="29">
      <c r="A29" t="inlineStr">
        <is>
          <t>SHB10000271142</t>
        </is>
      </c>
      <c r="B29" t="inlineStr">
        <is>
          <t>7779970830513</t>
        </is>
      </c>
      <c r="C29" t="inlineStr">
        <is>
          <t>OLA AROMATIC LIMPIADOR LAVANDA RELAJANTE X 5LT</t>
        </is>
      </c>
      <c r="D29" t="inlineStr">
        <is>
          <t>EC</t>
        </is>
      </c>
      <c r="E29" t="inlineStr">
        <is>
          <t>17/04/2026 16:41:44</t>
        </is>
      </c>
      <c r="F29" t="n">
        <v>14</v>
      </c>
      <c r="G29" t="n">
        <v>13</v>
      </c>
      <c r="H29" t="n">
        <v>3</v>
      </c>
    </row>
    <row r="30">
      <c r="A30" t="inlineStr">
        <is>
          <t>SHB10000271270</t>
        </is>
      </c>
      <c r="B30" t="inlineStr">
        <is>
          <t>7730979098243</t>
        </is>
      </c>
      <c r="C30" t="inlineStr">
        <is>
          <t>LEVAXON 1000MG X 30 COMP LEVETIRACETAM</t>
        </is>
      </c>
      <c r="D30" t="inlineStr">
        <is>
          <t>EC</t>
        </is>
      </c>
      <c r="E30" t="inlineStr">
        <is>
          <t>20/04/2026 14:01:03</t>
        </is>
      </c>
      <c r="F30" t="n">
        <v>300</v>
      </c>
      <c r="G30" t="n">
        <v>60</v>
      </c>
      <c r="H30" t="n">
        <v>60</v>
      </c>
    </row>
    <row r="31">
      <c r="A31" t="inlineStr">
        <is>
          <t>SHB10000271288</t>
        </is>
      </c>
      <c r="B31" t="inlineStr">
        <is>
          <t>7622201400729</t>
        </is>
      </c>
      <c r="C31" t="inlineStr">
        <is>
          <t>OREO COOKIES AND CREAM X 36GR (PQTX6 UNI)</t>
        </is>
      </c>
      <c r="D31" t="inlineStr">
        <is>
          <t>EC</t>
        </is>
      </c>
      <c r="E31" t="inlineStr">
        <is>
          <t>20/04/2026 14:31:56</t>
        </is>
      </c>
      <c r="F31" t="n">
        <v>2334</v>
      </c>
      <c r="G31" t="n">
        <v>2274</v>
      </c>
      <c r="H31" t="n">
        <v>29</v>
      </c>
    </row>
    <row r="32">
      <c r="A32" t="inlineStr">
        <is>
          <t>SHB10000271288</t>
        </is>
      </c>
      <c r="B32" t="inlineStr">
        <is>
          <t>7750168148962</t>
        </is>
      </c>
      <c r="C32" t="inlineStr">
        <is>
          <t>CHOCO SODA GALLETA X 39GR/36GR</t>
        </is>
      </c>
      <c r="D32" t="inlineStr">
        <is>
          <t>EC</t>
        </is>
      </c>
      <c r="E32" t="inlineStr">
        <is>
          <t>20/04/2026 11:41:11</t>
        </is>
      </c>
      <c r="F32" t="n">
        <v>3456</v>
      </c>
      <c r="G32" t="n">
        <v>3388</v>
      </c>
      <c r="H32" t="n">
        <v>6</v>
      </c>
    </row>
    <row r="33">
      <c r="A33" t="inlineStr">
        <is>
          <t>SHB10000271365</t>
        </is>
      </c>
      <c r="B33" t="inlineStr">
        <is>
          <t>7770108268932</t>
        </is>
      </c>
      <c r="C33" t="inlineStr">
        <is>
          <t>OPATADIN SP 0.2% COLIRIO X 6ML OLOPATADINA</t>
        </is>
      </c>
      <c r="D33" t="inlineStr">
        <is>
          <t>EC</t>
        </is>
      </c>
      <c r="E33" t="inlineStr">
        <is>
          <t>21/04/2026 09:59:21</t>
        </is>
      </c>
      <c r="F33" t="n">
        <v>5</v>
      </c>
      <c r="G33" t="n">
        <v>5</v>
      </c>
      <c r="H33" t="n">
        <v>5</v>
      </c>
    </row>
    <row r="34">
      <c r="A34" t="inlineStr">
        <is>
          <t>SHB10000271368</t>
        </is>
      </c>
      <c r="B34" t="inlineStr">
        <is>
          <t>7771621380187</t>
        </is>
      </c>
      <c r="C34" t="inlineStr">
        <is>
          <t>ACTIVADE BEBIDA ISOTONICA X 600ML FRUTILLA</t>
        </is>
      </c>
      <c r="D34" t="inlineStr">
        <is>
          <t>EC</t>
        </is>
      </c>
      <c r="E34" t="inlineStr">
        <is>
          <t>21/04/2026 15:01:04</t>
        </is>
      </c>
      <c r="F34" t="n">
        <v>1500</v>
      </c>
      <c r="G34" t="n">
        <v>972</v>
      </c>
      <c r="H34" t="n">
        <v>1</v>
      </c>
    </row>
    <row r="35">
      <c r="A35" t="inlineStr">
        <is>
          <t>SHB10000271368</t>
        </is>
      </c>
      <c r="B35" t="inlineStr">
        <is>
          <t>7771621380682</t>
        </is>
      </c>
      <c r="C35" t="inlineStr">
        <is>
          <t>ACTIVADE ZERO BEBIDA HIDRATANTE X 600ML FUSION SANDIA</t>
        </is>
      </c>
      <c r="D35" t="inlineStr">
        <is>
          <t>EC</t>
        </is>
      </c>
      <c r="E35" t="inlineStr">
        <is>
          <t>21/04/2026 17:55:12</t>
        </is>
      </c>
      <c r="F35" t="n">
        <v>2000</v>
      </c>
      <c r="G35" t="n">
        <v>1346</v>
      </c>
      <c r="H35" t="n">
        <v>1</v>
      </c>
    </row>
    <row r="36">
      <c r="A36" t="inlineStr">
        <is>
          <t>SHB10000271385</t>
        </is>
      </c>
      <c r="B36" t="inlineStr">
        <is>
          <t>7730963250930</t>
        </is>
      </c>
      <c r="C36" t="inlineStr">
        <is>
          <t>LEVOPLANT 75MG X 2 IMPLANTES SUBDERMICOS LEVONORGESTREL</t>
        </is>
      </c>
      <c r="D36" t="inlineStr">
        <is>
          <t>EC</t>
        </is>
      </c>
      <c r="E36" t="inlineStr">
        <is>
          <t>21/04/2026 09:16:54</t>
        </is>
      </c>
      <c r="F36" t="n">
        <v>7</v>
      </c>
      <c r="G36" t="n">
        <v>6</v>
      </c>
      <c r="H36" t="n">
        <v>1</v>
      </c>
    </row>
    <row r="37">
      <c r="A37" t="inlineStr">
        <is>
          <t>SHB10000271391</t>
        </is>
      </c>
      <c r="B37" t="inlineStr">
        <is>
          <t>7770108268932</t>
        </is>
      </c>
      <c r="C37" t="inlineStr">
        <is>
          <t>OPATADIN SP 0.2% COLIRIO X 6ML OLOPATADINA</t>
        </is>
      </c>
      <c r="D37" t="inlineStr">
        <is>
          <t>EC</t>
        </is>
      </c>
      <c r="E37" t="inlineStr">
        <is>
          <t>21/04/2026 10:01:16</t>
        </is>
      </c>
      <c r="F37" t="n">
        <v>109</v>
      </c>
      <c r="G37" t="n">
        <v>109</v>
      </c>
      <c r="H37" t="n">
        <v>5</v>
      </c>
    </row>
    <row r="38">
      <c r="A38" t="inlineStr">
        <is>
          <t>SHB10000271428</t>
        </is>
      </c>
      <c r="B38" t="inlineStr">
        <is>
          <t>7730381003163</t>
        </is>
      </c>
      <c r="C38" t="inlineStr">
        <is>
          <t>TALIS UD 5MG X 30 COMP TADALAFILO</t>
        </is>
      </c>
      <c r="D38" t="inlineStr">
        <is>
          <t>EC</t>
        </is>
      </c>
      <c r="E38" t="inlineStr">
        <is>
          <t>21/04/2026 11:22:10</t>
        </is>
      </c>
      <c r="F38" t="n">
        <v>13800</v>
      </c>
      <c r="G38" t="n">
        <v>12420</v>
      </c>
      <c r="H38" t="n">
        <v>30</v>
      </c>
    </row>
    <row r="39">
      <c r="A39" t="inlineStr">
        <is>
          <t>SHB10000271474</t>
        </is>
      </c>
      <c r="B39" t="inlineStr">
        <is>
          <t>7730963250084</t>
        </is>
      </c>
      <c r="C39" t="inlineStr">
        <is>
          <t>POSTPIL 1.5MG X 1 COMP LEVONORGESTREL</t>
        </is>
      </c>
      <c r="D39" t="inlineStr">
        <is>
          <t>EC</t>
        </is>
      </c>
      <c r="E39" t="inlineStr">
        <is>
          <t>22/04/2026 11:14:28</t>
        </is>
      </c>
      <c r="F39" t="n">
        <v>827</v>
      </c>
      <c r="G39" t="n">
        <v>802</v>
      </c>
      <c r="H39" t="n">
        <v>1</v>
      </c>
    </row>
    <row r="40">
      <c r="A40" t="inlineStr">
        <is>
          <t>SHB10000271480</t>
        </is>
      </c>
      <c r="B40" t="inlineStr">
        <is>
          <t>7908320401954</t>
        </is>
      </c>
      <c r="C40" t="inlineStr">
        <is>
          <t>PRIMOGATO PREMIUN ADULT X 3KG CARNE/POLLO/PESCADO</t>
        </is>
      </c>
      <c r="D40" t="inlineStr">
        <is>
          <t>EC</t>
        </is>
      </c>
      <c r="E40" t="inlineStr">
        <is>
          <t>22/04/2026 09:43:02</t>
        </is>
      </c>
      <c r="F40" t="n">
        <v>30</v>
      </c>
      <c r="G40" t="n">
        <v>30</v>
      </c>
      <c r="H40" t="n">
        <v>1</v>
      </c>
    </row>
    <row r="41">
      <c r="A41" t="inlineStr">
        <is>
          <t>SHB10000271532</t>
        </is>
      </c>
      <c r="B41" t="inlineStr">
        <is>
          <t>7771011351384</t>
        </is>
      </c>
      <c r="C41" t="inlineStr">
        <is>
          <t>DEFLAZAN 6MG X 10 COMP DEFLAZACORT</t>
        </is>
      </c>
      <c r="D41" t="inlineStr">
        <is>
          <t>EC</t>
        </is>
      </c>
      <c r="E41" t="inlineStr">
        <is>
          <t>22/04/2026 11:52:56</t>
        </is>
      </c>
      <c r="F41" t="n">
        <v>70</v>
      </c>
      <c r="G41" t="n">
        <v>60</v>
      </c>
      <c r="H41" t="n">
        <v>40</v>
      </c>
    </row>
    <row r="42">
      <c r="A42" t="inlineStr">
        <is>
          <t>SHB10000271631</t>
        </is>
      </c>
      <c r="B42" t="inlineStr">
        <is>
          <t>7770105009231</t>
        </is>
      </c>
      <c r="C42" t="inlineStr">
        <is>
          <t>GLUCOSAMIN 12 POLVO FCO X 350GR</t>
        </is>
      </c>
      <c r="D42" t="inlineStr">
        <is>
          <t>EC</t>
        </is>
      </c>
      <c r="E42" t="inlineStr">
        <is>
          <t>23/04/2026 09:44:04</t>
        </is>
      </c>
      <c r="F42" t="n">
        <v>500</v>
      </c>
      <c r="G42" t="n">
        <v>500</v>
      </c>
      <c r="H42" t="n">
        <v>9</v>
      </c>
    </row>
    <row r="43">
      <c r="A43" t="inlineStr">
        <is>
          <t>SHB10000271671</t>
        </is>
      </c>
      <c r="B43" t="inlineStr">
        <is>
          <t>7770108103844</t>
        </is>
      </c>
      <c r="C43" t="inlineStr">
        <is>
          <t>T 36 PLUS X 4 COMP TADALAFILO/DAPOXETINA</t>
        </is>
      </c>
      <c r="D43" t="inlineStr">
        <is>
          <t>EC</t>
        </is>
      </c>
      <c r="E43" t="inlineStr">
        <is>
          <t>23/04/2026 11:17:38</t>
        </is>
      </c>
      <c r="F43" t="n">
        <v>2208</v>
      </c>
      <c r="G43" t="n">
        <v>2208</v>
      </c>
      <c r="H43" t="n">
        <v>8</v>
      </c>
    </row>
    <row r="44">
      <c r="A44" t="inlineStr">
        <is>
          <t>SHB10000271672</t>
        </is>
      </c>
      <c r="B44" t="inlineStr">
        <is>
          <t>7703153028305</t>
        </is>
      </c>
      <c r="C44" t="inlineStr">
        <is>
          <t>FORTZINK 10MG/ML GTA X 30ML ZINC</t>
        </is>
      </c>
      <c r="D44" t="inlineStr">
        <is>
          <t>EC</t>
        </is>
      </c>
      <c r="E44" t="inlineStr">
        <is>
          <t>23/04/2026 16:01:09</t>
        </is>
      </c>
      <c r="F44" t="n">
        <v>5</v>
      </c>
      <c r="G44" t="n">
        <v>5</v>
      </c>
      <c r="H44" t="n">
        <v>6</v>
      </c>
    </row>
    <row r="45">
      <c r="A45" t="inlineStr">
        <is>
          <t>SHB10000271680</t>
        </is>
      </c>
      <c r="B45" t="inlineStr">
        <is>
          <t>154073</t>
        </is>
      </c>
      <c r="C45" t="inlineStr">
        <is>
          <t>PROFAXIM 550MG X 7 CAP BLANDAS RIFAXIMINA</t>
        </is>
      </c>
      <c r="D45" t="inlineStr">
        <is>
          <t>EC</t>
        </is>
      </c>
      <c r="E45" t="inlineStr">
        <is>
          <t>23/04/2026 16:23:54</t>
        </is>
      </c>
      <c r="F45" t="n">
        <v>3654</v>
      </c>
      <c r="G45" t="n">
        <v>3654</v>
      </c>
      <c r="H45" t="n">
        <v>3654</v>
      </c>
    </row>
    <row r="46">
      <c r="A46" t="inlineStr">
        <is>
          <t>SHB10000271683</t>
        </is>
      </c>
      <c r="B46" t="inlineStr">
        <is>
          <t>154073</t>
        </is>
      </c>
      <c r="C46" t="inlineStr">
        <is>
          <t>PROFAXIM 550MG X 7 CAP BLANDAS RIFAXIMINA</t>
        </is>
      </c>
      <c r="D46" t="inlineStr">
        <is>
          <t>EC</t>
        </is>
      </c>
      <c r="E46" t="inlineStr">
        <is>
          <t>23/04/2026 16:29:59</t>
        </is>
      </c>
      <c r="F46" t="n">
        <v>4137</v>
      </c>
      <c r="G46" t="n">
        <v>4137</v>
      </c>
      <c r="H46" t="n">
        <v>3654</v>
      </c>
    </row>
    <row r="47">
      <c r="A47" t="inlineStr">
        <is>
          <t>SHB10000270522</t>
        </is>
      </c>
      <c r="B47" t="inlineStr">
        <is>
          <t>7771621380187</t>
        </is>
      </c>
      <c r="C47" t="inlineStr">
        <is>
          <t>ACTIVADE BEBIDA ISOTONICA X 600ML FRUTILLA</t>
        </is>
      </c>
      <c r="D47" t="inlineStr">
        <is>
          <t>RF</t>
        </is>
      </c>
      <c r="E47" t="inlineStr">
        <is>
          <t>15/04/2026 14:17:56</t>
        </is>
      </c>
      <c r="F47" t="n">
        <v>141</v>
      </c>
      <c r="G47" t="n">
        <v>1</v>
      </c>
      <c r="H47" t="n">
        <v>1</v>
      </c>
    </row>
    <row r="48">
      <c r="A48" t="inlineStr">
        <is>
          <t>(En Blanco)</t>
        </is>
      </c>
      <c r="B48" t="inlineStr">
        <is>
          <t>67238891190</t>
        </is>
      </c>
      <c r="C48" t="inlineStr">
        <is>
          <t>DOVE JABON X 135GR BLANCO</t>
        </is>
      </c>
      <c r="D48" t="inlineStr">
        <is>
          <t>(En Blanco)</t>
        </is>
      </c>
      <c r="E48" t="inlineStr">
        <is>
          <t>13/04/2026 14:21:59</t>
        </is>
      </c>
      <c r="F48" t="n">
        <v>0</v>
      </c>
      <c r="G48" t="n">
        <v>0</v>
      </c>
      <c r="H48" t="n">
        <v>1</v>
      </c>
    </row>
    <row r="49">
      <c r="A49" t="inlineStr">
        <is>
          <t>(En Blanco)</t>
        </is>
      </c>
      <c r="B49" t="inlineStr">
        <is>
          <t>745073</t>
        </is>
      </c>
      <c r="C49" t="inlineStr">
        <is>
          <t>SILDENAFIL 100MG X 40 TAB GENERICO</t>
        </is>
      </c>
      <c r="D49" t="inlineStr">
        <is>
          <t>(En Blanco)</t>
        </is>
      </c>
      <c r="E49" t="inlineStr">
        <is>
          <t>14/04/2026 12:11:57</t>
        </is>
      </c>
      <c r="F49" t="n">
        <v>0</v>
      </c>
      <c r="G49" t="n">
        <v>0</v>
      </c>
      <c r="H49" t="n">
        <v>40</v>
      </c>
    </row>
    <row r="50">
      <c r="A50" t="inlineStr">
        <is>
          <t>(En Blanco)</t>
        </is>
      </c>
      <c r="B50" t="inlineStr">
        <is>
          <t>7622201400729</t>
        </is>
      </c>
      <c r="C50" t="inlineStr">
        <is>
          <t>OREO COOKIES AND CREAM X 36GR (PQTX6 UNI)</t>
        </is>
      </c>
      <c r="D50" t="inlineStr">
        <is>
          <t>(En Blanco)</t>
        </is>
      </c>
      <c r="E50" t="inlineStr">
        <is>
          <t>04/04/2026 11:52:28</t>
        </is>
      </c>
      <c r="F50" t="n">
        <v>0</v>
      </c>
      <c r="G50" t="n">
        <v>0</v>
      </c>
      <c r="H50" t="n">
        <v>29</v>
      </c>
    </row>
    <row r="51">
      <c r="A51" t="inlineStr">
        <is>
          <t>(En Blanco)</t>
        </is>
      </c>
      <c r="B51" t="inlineStr">
        <is>
          <t>7730381003163</t>
        </is>
      </c>
      <c r="C51" t="inlineStr">
        <is>
          <t>TALIS UD 5MG X 30 COMP TADALAFILO</t>
        </is>
      </c>
      <c r="D51" t="inlineStr">
        <is>
          <t>(En Blanco)</t>
        </is>
      </c>
      <c r="E51" t="inlineStr">
        <is>
          <t>18/04/2026 11:16:11</t>
        </is>
      </c>
      <c r="F51" t="n">
        <v>0</v>
      </c>
      <c r="G51" t="n">
        <v>30</v>
      </c>
      <c r="H51" t="n">
        <v>30</v>
      </c>
    </row>
    <row r="52">
      <c r="A52" t="inlineStr">
        <is>
          <t>(En Blanco)</t>
        </is>
      </c>
      <c r="B52" t="inlineStr">
        <is>
          <t>7730963250084</t>
        </is>
      </c>
      <c r="C52" t="inlineStr">
        <is>
          <t>POSTPIL 1.5MG X 1 COMP LEVONORGESTREL</t>
        </is>
      </c>
      <c r="D52" t="inlineStr">
        <is>
          <t>(En Blanco)</t>
        </is>
      </c>
      <c r="E52" t="inlineStr">
        <is>
          <t>18/04/2026 12:14:59</t>
        </is>
      </c>
      <c r="F52" t="n">
        <v>0</v>
      </c>
      <c r="G52" t="n">
        <v>0</v>
      </c>
      <c r="H52" t="n">
        <v>1</v>
      </c>
    </row>
    <row r="53">
      <c r="A53" t="inlineStr">
        <is>
          <t>(En Blanco)</t>
        </is>
      </c>
      <c r="B53" t="inlineStr">
        <is>
          <t>7750168148962</t>
        </is>
      </c>
      <c r="C53" t="inlineStr">
        <is>
          <t>CHOCO SODA GALLETA X 39GR/36GR</t>
        </is>
      </c>
      <c r="D53" t="inlineStr">
        <is>
          <t>(En Blanco)</t>
        </is>
      </c>
      <c r="E53" t="inlineStr">
        <is>
          <t>04/04/2026 09:37:02</t>
        </is>
      </c>
      <c r="F53" t="n">
        <v>0</v>
      </c>
      <c r="G53" t="n">
        <v>3</v>
      </c>
      <c r="H53" t="n">
        <v>6</v>
      </c>
    </row>
    <row r="54">
      <c r="A54" t="inlineStr">
        <is>
          <t>(En Blanco)</t>
        </is>
      </c>
      <c r="B54" t="inlineStr">
        <is>
          <t>7770108103844</t>
        </is>
      </c>
      <c r="C54" t="inlineStr">
        <is>
          <t>T 36 PLUS X 4 COMP TADALAFILO/DAPOXETINA</t>
        </is>
      </c>
      <c r="D54" t="inlineStr">
        <is>
          <t>(En Blanco)</t>
        </is>
      </c>
      <c r="E54" t="inlineStr">
        <is>
          <t>18/04/2026 12:12:26</t>
        </is>
      </c>
      <c r="F54" t="n">
        <v>0</v>
      </c>
      <c r="G54" t="n">
        <v>4</v>
      </c>
      <c r="H54" t="n">
        <v>8</v>
      </c>
    </row>
    <row r="55">
      <c r="A55" t="inlineStr">
        <is>
          <t>(En Blanco)</t>
        </is>
      </c>
      <c r="B55" t="inlineStr">
        <is>
          <t>7770108266563</t>
        </is>
      </c>
      <c r="C55" t="inlineStr">
        <is>
          <t>ESPASMO LOXADIM FORTE NF X 100 COMP</t>
        </is>
      </c>
      <c r="D55" t="inlineStr">
        <is>
          <t>(En Blanco)</t>
        </is>
      </c>
      <c r="E55" t="inlineStr">
        <is>
          <t>11/04/2026 14:15:52</t>
        </is>
      </c>
      <c r="F55" t="n">
        <v>0</v>
      </c>
      <c r="G55" t="n">
        <v>10</v>
      </c>
      <c r="H55" t="n">
        <v>90</v>
      </c>
    </row>
    <row r="56">
      <c r="A56" t="inlineStr">
        <is>
          <t>(En Blanco)</t>
        </is>
      </c>
      <c r="B56" t="inlineStr">
        <is>
          <t>7772619002593</t>
        </is>
      </c>
      <c r="C56" t="inlineStr">
        <is>
          <t>LA SUPREMA GALLETAS SNACKS X 21GR ANIMALES</t>
        </is>
      </c>
      <c r="D56" t="inlineStr">
        <is>
          <t>(En Blanco)</t>
        </is>
      </c>
      <c r="E56" t="inlineStr">
        <is>
          <t>04/04/2026 10:06:33</t>
        </is>
      </c>
      <c r="F56" t="n">
        <v>0</v>
      </c>
      <c r="G56" t="n">
        <v>0</v>
      </c>
      <c r="H56" t="n">
        <v>1</v>
      </c>
    </row>
    <row r="57">
      <c r="A57" t="inlineStr">
        <is>
          <t>(En Blanco)</t>
        </is>
      </c>
      <c r="B57" t="inlineStr">
        <is>
          <t>7779970480381</t>
        </is>
      </c>
      <c r="C57" t="inlineStr">
        <is>
          <t>KILLER VARITAS REPELENTES LATA X 14UND LAVANDA</t>
        </is>
      </c>
      <c r="D57" t="inlineStr">
        <is>
          <t>(En Blanco)</t>
        </is>
      </c>
      <c r="E57" t="inlineStr">
        <is>
          <t>07/04/2026 14:29:23</t>
        </is>
      </c>
      <c r="F57" t="n">
        <v>0</v>
      </c>
      <c r="G57" t="n">
        <v>1</v>
      </c>
      <c r="H57" t="n">
        <v>1</v>
      </c>
    </row>
    <row r="58">
      <c r="A58" t="inlineStr">
        <is>
          <t>(En Blanco)</t>
        </is>
      </c>
      <c r="B58" t="inlineStr">
        <is>
          <t>7790580327613</t>
        </is>
      </c>
      <c r="C58" t="inlineStr">
        <is>
          <t>ROCKLETS MANI CON CHOCOLATE CONFITADO X 40GR</t>
        </is>
      </c>
      <c r="D58" t="inlineStr">
        <is>
          <t>(En Blanco)</t>
        </is>
      </c>
      <c r="E58" t="inlineStr">
        <is>
          <t>04/04/2026 11:18:53</t>
        </is>
      </c>
      <c r="F58" t="n">
        <v>0</v>
      </c>
      <c r="G58" t="n">
        <v>1</v>
      </c>
      <c r="H58" t="n">
        <v>1</v>
      </c>
    </row>
    <row r="59">
      <c r="A59" t="inlineStr">
        <is>
          <t>(En Blanco)</t>
        </is>
      </c>
      <c r="B59" t="inlineStr">
        <is>
          <t>78371113292</t>
        </is>
      </c>
      <c r="C59" t="inlineStr">
        <is>
          <t>GAFAS DE BIOSEGURIDAD 3M VIRTUA CLASIC CLARA DESC</t>
        </is>
      </c>
      <c r="D59" t="inlineStr">
        <is>
          <t>(En Blanco)</t>
        </is>
      </c>
      <c r="E59" t="inlineStr">
        <is>
          <t>10/04/2026 09:51:51</t>
        </is>
      </c>
      <c r="F59" t="n">
        <v>0</v>
      </c>
      <c r="G59" t="n">
        <v>1</v>
      </c>
      <c r="H59" t="n">
        <v>1</v>
      </c>
    </row>
    <row r="60">
      <c r="A60" t="inlineStr">
        <is>
          <t>(En Blanco)</t>
        </is>
      </c>
      <c r="B60" t="inlineStr">
        <is>
          <t>78371113308</t>
        </is>
      </c>
      <c r="C60" t="inlineStr">
        <is>
          <t>GAFAS DE BIOSEGURIDAD 3M VIRTUA CLASIC OSCURA DESC</t>
        </is>
      </c>
      <c r="D60" t="inlineStr">
        <is>
          <t>(En Blanco)</t>
        </is>
      </c>
      <c r="E60" t="inlineStr">
        <is>
          <t>10/04/2026 10:23:36</t>
        </is>
      </c>
      <c r="F60" t="n">
        <v>0</v>
      </c>
      <c r="G60" t="n">
        <v>2</v>
      </c>
      <c r="H60" t="n">
        <v>2</v>
      </c>
    </row>
    <row r="61">
      <c r="A61" t="inlineStr">
        <is>
          <t>(En Blanco)</t>
        </is>
      </c>
      <c r="B61" t="inlineStr">
        <is>
          <t>78371115593</t>
        </is>
      </c>
      <c r="C61" t="inlineStr">
        <is>
          <t>GAFAS DE BIOSEGURIDAD 3M VIRTUA PLUS LIGA CLARA DE</t>
        </is>
      </c>
      <c r="D61" t="inlineStr">
        <is>
          <t>(En Blanco)</t>
        </is>
      </c>
      <c r="E61" t="inlineStr">
        <is>
          <t>10/04/2026 11:09:18</t>
        </is>
      </c>
      <c r="F61" t="n">
        <v>0</v>
      </c>
      <c r="G61" t="n">
        <v>4</v>
      </c>
      <c r="H61" t="n">
        <v>4</v>
      </c>
    </row>
    <row r="62">
      <c r="A62" t="inlineStr">
        <is>
          <t>(En Blanco)</t>
        </is>
      </c>
      <c r="B62" t="inlineStr">
        <is>
          <t>7891008367027</t>
        </is>
      </c>
      <c r="C62" t="inlineStr">
        <is>
          <t>NO USAR BATON X 16GR CHOCOLATE LECHE  DISX30  133</t>
        </is>
      </c>
      <c r="D62" t="inlineStr">
        <is>
          <t>(En Blanco)</t>
        </is>
      </c>
      <c r="E62" t="inlineStr">
        <is>
          <t>04/04/2026 08:16:48</t>
        </is>
      </c>
      <c r="F62" t="n">
        <v>0</v>
      </c>
      <c r="G62" t="n">
        <v>30</v>
      </c>
      <c r="H62" t="n">
        <v>30</v>
      </c>
    </row>
    <row r="63">
      <c r="A63" t="inlineStr">
        <is>
          <t>(En Blanco)</t>
        </is>
      </c>
      <c r="B63" t="inlineStr">
        <is>
          <t>7908320401954</t>
        </is>
      </c>
      <c r="C63" t="inlineStr">
        <is>
          <t>PRIMOGATO PREMIUN ADULT X 3KG CARNE/POLLO/PESCADO</t>
        </is>
      </c>
      <c r="D63" t="inlineStr">
        <is>
          <t>(En Blanco)</t>
        </is>
      </c>
      <c r="E63" t="inlineStr">
        <is>
          <t>09/04/2026 08:59:13</t>
        </is>
      </c>
      <c r="F63" t="n">
        <v>0</v>
      </c>
      <c r="G63" t="n">
        <v>0</v>
      </c>
      <c r="H63" t="n">
        <v>1</v>
      </c>
    </row>
    <row r="64">
      <c r="A64" t="inlineStr">
        <is>
          <t>(En Blanco)</t>
        </is>
      </c>
      <c r="B64" t="inlineStr">
        <is>
          <t>8710103875871</t>
        </is>
      </c>
      <c r="C64" t="inlineStr">
        <is>
          <t>AVENT BIBERON NATURAL X 260ML 1M  SCF033/15 VERDE(DESC)</t>
        </is>
      </c>
      <c r="D64" t="inlineStr">
        <is>
          <t>(En Blanco)</t>
        </is>
      </c>
      <c r="E64" t="inlineStr">
        <is>
          <t>04/04/2026 13:39:58</t>
        </is>
      </c>
      <c r="F64" t="n">
        <v>0</v>
      </c>
      <c r="G64" t="n">
        <v>1</v>
      </c>
      <c r="H64" t="n">
        <v>1</v>
      </c>
    </row>
    <row r="65">
      <c r="A65" t="inlineStr">
        <is>
          <t>(En Blanco)</t>
        </is>
      </c>
      <c r="B65" t="inlineStr">
        <is>
          <t>900259</t>
        </is>
      </c>
      <c r="C65" t="inlineStr">
        <is>
          <t>WINDSOR TE PINA X 50 UNID(DESC)</t>
        </is>
      </c>
      <c r="D65" t="inlineStr">
        <is>
          <t>(En Blanco)</t>
        </is>
      </c>
      <c r="E65" t="inlineStr">
        <is>
          <t>04/04/2026 14:11:15</t>
        </is>
      </c>
      <c r="F65" t="n">
        <v>0</v>
      </c>
      <c r="G65" t="n">
        <v>1</v>
      </c>
      <c r="H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2026-04-24T14:39:26Z</dcterms:created>
  <dcterms:modified xsi:type="dcterms:W3CDTF">2026-04-24T14:39:26Z</dcterms:modified>
</cp:coreProperties>
</file>