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MELIMPIAS\Documents\automatizacion wms-erp\"/>
    </mc:Choice>
  </mc:AlternateContent>
  <xr:revisionPtr revIDLastSave="0" documentId="8_{25EA0F40-1232-4C12-9425-C43293B94B15}" xr6:coauthVersionLast="36" xr6:coauthVersionMax="36" xr10:uidLastSave="{00000000-0000-0000-0000-000000000000}"/>
  <bookViews>
    <workbookView xWindow="0" yWindow="0" windowWidth="20490" windowHeight="6945" xr2:uid="{00000000-000D-0000-FFFF-FFFF00000000}"/>
  </bookViews>
  <sheets>
    <sheet name="Sheet1" sheetId="1" r:id="rId1"/>
  </sheets>
  <calcPr calcId="191029"/>
</workbook>
</file>

<file path=xl/calcChain.xml><?xml version="1.0" encoding="utf-8"?>
<calcChain xmlns="http://schemas.openxmlformats.org/spreadsheetml/2006/main">
  <c r="A2" i="1" l="1"/>
  <c r="A4" i="1"/>
  <c r="A3" i="1"/>
</calcChain>
</file>

<file path=xl/sharedStrings.xml><?xml version="1.0" encoding="utf-8"?>
<sst xmlns="http://schemas.openxmlformats.org/spreadsheetml/2006/main" count="330" uniqueCount="192">
  <si>
    <t>Envio Recibido</t>
  </si>
  <si>
    <t>Producto</t>
  </si>
  <si>
    <t>Descripcion</t>
  </si>
  <si>
    <t>Tipo ASN</t>
  </si>
  <si>
    <t>Fe y Hr Crea</t>
  </si>
  <si>
    <t>Cant Recibida</t>
  </si>
  <si>
    <t>Cantidad actual</t>
  </si>
  <si>
    <t>DIF</t>
  </si>
  <si>
    <t>521180715</t>
  </si>
  <si>
    <t>CARTILLA CAMPANA VAJILLAS</t>
  </si>
  <si>
    <t>ET</t>
  </si>
  <si>
    <t>24/03/2026 09:38:27</t>
  </si>
  <si>
    <t>7770105009231</t>
  </si>
  <si>
    <t>GLUCOSAMIN 12 POLVO FCO X 350GR</t>
  </si>
  <si>
    <t>09/03/2026 18:35:42</t>
  </si>
  <si>
    <t>06/03/2026 16:07:35</t>
  </si>
  <si>
    <t>OSA10300045790</t>
  </si>
  <si>
    <t>7750215030318</t>
  </si>
  <si>
    <t>METFORMINA 850MG X 30 TAB FARMACORP</t>
  </si>
  <si>
    <t>02/03/2026 13:23:13</t>
  </si>
  <si>
    <t>SHB10000267027</t>
  </si>
  <si>
    <t>7770108266808</t>
  </si>
  <si>
    <t>PITAVAX 2MG X 35 COMP PITAVASTATINA</t>
  </si>
  <si>
    <t>EC</t>
  </si>
  <si>
    <t>04/03/2026 13:30:43</t>
  </si>
  <si>
    <t>SHB10000267029</t>
  </si>
  <si>
    <t>7730963250930</t>
  </si>
  <si>
    <t>LEVOPLANT 75MG X 2 IMPLANTES SUBDERMICOS LEVONORGESTREL</t>
  </si>
  <si>
    <t>04/03/2026 09:10:59</t>
  </si>
  <si>
    <t>SHB10000267034</t>
  </si>
  <si>
    <t>7779970480381</t>
  </si>
  <si>
    <t>KILLER VARITAS REPELENTES LATA X 14UND LAVANDA</t>
  </si>
  <si>
    <t>04/03/2026 14:08:44</t>
  </si>
  <si>
    <t>SHB10000267044</t>
  </si>
  <si>
    <t>04/03/2026 14:36:23</t>
  </si>
  <si>
    <t>SHB10000267050</t>
  </si>
  <si>
    <t>7770108268932</t>
  </si>
  <si>
    <t>OPATADIN SP 0.2% COLIRIO X 6ML OLOPATADINA</t>
  </si>
  <si>
    <t>04/03/2026 14:41:15</t>
  </si>
  <si>
    <t>SHB10000267099</t>
  </si>
  <si>
    <t>7840185785513</t>
  </si>
  <si>
    <t>ANITA PASTA AL HUEVO FARFALLE X 400 GR</t>
  </si>
  <si>
    <t>05/03/2026 10:44:21</t>
  </si>
  <si>
    <t>SHB10000267116</t>
  </si>
  <si>
    <t>7770108103844</t>
  </si>
  <si>
    <t>T 36 PLUS X 4 COMP TADALAFILO/DAPOXETINA</t>
  </si>
  <si>
    <t>05/03/2026 17:37:02</t>
  </si>
  <si>
    <t>SHB10000267124</t>
  </si>
  <si>
    <t>7771611000439</t>
  </si>
  <si>
    <t>VILLA SANTA ALCALINA AGUA DE MESA S/GAS X 1LT</t>
  </si>
  <si>
    <t>05/03/2026 09:40:05</t>
  </si>
  <si>
    <t>SHB10000267200</t>
  </si>
  <si>
    <t>4022679142306</t>
  </si>
  <si>
    <t>VITAMINA C  ZINC TBO X 20 TAB EFERV (NUTRAZUL)</t>
  </si>
  <si>
    <t>06/03/2026 11:30:15</t>
  </si>
  <si>
    <t>SHB10000267489</t>
  </si>
  <si>
    <t>4030539164764</t>
  </si>
  <si>
    <t>PROPOFOL-LIPURO 1% 200MG IV X 5 AMP/20ML(R/MED)</t>
  </si>
  <si>
    <t>10/03/2026 08:03:03</t>
  </si>
  <si>
    <t>SHB10000267515</t>
  </si>
  <si>
    <t>751244</t>
  </si>
  <si>
    <t>NISTATINA 100.000 UI X 10 OVULOS VAG GENERICO LI</t>
  </si>
  <si>
    <t>09/03/2026 16:17:14</t>
  </si>
  <si>
    <t>SHB10000267685</t>
  </si>
  <si>
    <t>10/03/2026 14:02:29</t>
  </si>
  <si>
    <t>SHB10000267737</t>
  </si>
  <si>
    <t>7779970830513</t>
  </si>
  <si>
    <t>OLA AROMATIC LIMPIADOR LAVANDA RELAJANTE X 5LT</t>
  </si>
  <si>
    <t>11/03/2026 16:10:10</t>
  </si>
  <si>
    <t>SHB10000267753</t>
  </si>
  <si>
    <t>67238891190</t>
  </si>
  <si>
    <t>DOVE JABON X 135GR BLANCO</t>
  </si>
  <si>
    <t>11/03/2026 16:30:29</t>
  </si>
  <si>
    <t>SHB10000267789</t>
  </si>
  <si>
    <t>7891010256449</t>
  </si>
  <si>
    <t>NEUTROGENA SUN FRESH PROT FACIAL FPS50 X 40ML S/COLOR</t>
  </si>
  <si>
    <t>11/03/2026 13:55:42</t>
  </si>
  <si>
    <t>SHB10000267790</t>
  </si>
  <si>
    <t>7771011351650</t>
  </si>
  <si>
    <t>TRASSIL 250MG/5ML JARABE X 100ML PARACETAMOL</t>
  </si>
  <si>
    <t>11/03/2026 15:20:22</t>
  </si>
  <si>
    <t>SHB10000267860</t>
  </si>
  <si>
    <t>106401</t>
  </si>
  <si>
    <t>ALGODON FARMACORP X 10GR V</t>
  </si>
  <si>
    <t>12/03/2026 09:39:27</t>
  </si>
  <si>
    <t>SHB10000267867</t>
  </si>
  <si>
    <t>12/03/2026 11:33:36</t>
  </si>
  <si>
    <t>7771611000446</t>
  </si>
  <si>
    <t>VILLA SANTA ALCALINA AGUA DE MESA S/GAS X 3LT</t>
  </si>
  <si>
    <t>12/03/2026 10:51:28</t>
  </si>
  <si>
    <t>SHB10000267893</t>
  </si>
  <si>
    <t>7908320401954</t>
  </si>
  <si>
    <t>PRIMOGATO PREMIUN ADULT X 3KG CARNE/POLLO/PESCADO</t>
  </si>
  <si>
    <t>12/03/2026 15:01:38</t>
  </si>
  <si>
    <t>SHB10000268032</t>
  </si>
  <si>
    <t>7790580327613</t>
  </si>
  <si>
    <t>ROCKLETS MANI CON CHOCOLATE CONFITADO X 40GR</t>
  </si>
  <si>
    <t>13/03/2026 14:07:44</t>
  </si>
  <si>
    <t>SHB10000268037</t>
  </si>
  <si>
    <t>7730979098243</t>
  </si>
  <si>
    <t>LEVAXON 1000MG X 30 COMP LEVETIRACETAM</t>
  </si>
  <si>
    <t>13/03/2026 11:17:35</t>
  </si>
  <si>
    <t>SHB10000268337</t>
  </si>
  <si>
    <t>16/03/2026 15:33:51</t>
  </si>
  <si>
    <t>SHB10000268419</t>
  </si>
  <si>
    <t>7730381002777</t>
  </si>
  <si>
    <t>ETALPRAM 20MG X 30 COMP ESCITALOPRAM</t>
  </si>
  <si>
    <t>17/03/2026 13:58:51</t>
  </si>
  <si>
    <t>SHB10000268425</t>
  </si>
  <si>
    <t>17/03/2026 16:58:27</t>
  </si>
  <si>
    <t>SHB10000268432</t>
  </si>
  <si>
    <t>17/03/2026 10:02:29</t>
  </si>
  <si>
    <t>SHB10000268435</t>
  </si>
  <si>
    <t>17/03/2026 16:53:11</t>
  </si>
  <si>
    <t>SHB10000268489</t>
  </si>
  <si>
    <t>7771621380187</t>
  </si>
  <si>
    <t>ACTIVADE BEBIDA ISOTONICA X 600ML FRUTILLA</t>
  </si>
  <si>
    <t>18/03/2026 13:22:57</t>
  </si>
  <si>
    <t>SHB10000268561</t>
  </si>
  <si>
    <t>18/03/2026 17:09:10</t>
  </si>
  <si>
    <t>SHB10000268693</t>
  </si>
  <si>
    <t>19/03/2026 17:44:58</t>
  </si>
  <si>
    <t>SHB10000268776</t>
  </si>
  <si>
    <t>7750168148962</t>
  </si>
  <si>
    <t>CHOCO SODA GALLETA X 39GR/36GR</t>
  </si>
  <si>
    <t>20/03/2026 13:59:29</t>
  </si>
  <si>
    <t>SHB10000268996</t>
  </si>
  <si>
    <t>7790673000102</t>
  </si>
  <si>
    <t>FAVINCO VINAGRE ALCOHOL BLANCO X 1LT</t>
  </si>
  <si>
    <t>23/03/2026 16:04:55</t>
  </si>
  <si>
    <t>900232</t>
  </si>
  <si>
    <t>GUSTOSO CHOCLO ENLATADO X 340G</t>
  </si>
  <si>
    <t>23/03/2026 17:23:36</t>
  </si>
  <si>
    <t>SHB10000269014</t>
  </si>
  <si>
    <t>23/03/2026 15:00:35</t>
  </si>
  <si>
    <t>SHB10000269373</t>
  </si>
  <si>
    <t>25/03/2026 11:26:18</t>
  </si>
  <si>
    <t>SHB10000269631</t>
  </si>
  <si>
    <t>745073</t>
  </si>
  <si>
    <t>SILDENAFIL 100MG X 40 TAB GENERICO</t>
  </si>
  <si>
    <t>27/03/2026 13:05:38</t>
  </si>
  <si>
    <t>SHB10000269633</t>
  </si>
  <si>
    <t>27/03/2026 20:22:34</t>
  </si>
  <si>
    <t>SHB10000269652</t>
  </si>
  <si>
    <t>27/03/2026 13:18:51</t>
  </si>
  <si>
    <t>SHB10000269654</t>
  </si>
  <si>
    <t>27/03/2026 15:26:23</t>
  </si>
  <si>
    <t>SHB10000269656</t>
  </si>
  <si>
    <t>27/03/2026 13:58:07</t>
  </si>
  <si>
    <t>SHB10000269714</t>
  </si>
  <si>
    <t>27/03/2026 18:10:38</t>
  </si>
  <si>
    <t>SHB10000269869</t>
  </si>
  <si>
    <t>7703153028305</t>
  </si>
  <si>
    <t>FORTZINK 10MG/ML GTA X 30ML ZINC</t>
  </si>
  <si>
    <t>31/03/2026 08:45:38</t>
  </si>
  <si>
    <t>SHB10000269889</t>
  </si>
  <si>
    <t>7500810023778</t>
  </si>
  <si>
    <t>TAKIS FUEGO BOLSA X 28 GR SABOR AJI Y LIMON</t>
  </si>
  <si>
    <t>31/03/2026 16:58:02</t>
  </si>
  <si>
    <t>31/03/2026 17:08:38</t>
  </si>
  <si>
    <t>SHB10000267901</t>
  </si>
  <si>
    <t>RF</t>
  </si>
  <si>
    <t>12/03/2026 15:18:01</t>
  </si>
  <si>
    <t>SHB10000267902</t>
  </si>
  <si>
    <t>12/03/2026 15:20:07</t>
  </si>
  <si>
    <t>SHB10000267903</t>
  </si>
  <si>
    <t>12/03/2026 15:18:39</t>
  </si>
  <si>
    <t>SHB10000268458</t>
  </si>
  <si>
    <t>23/03/2026 11:59:43</t>
  </si>
  <si>
    <t>(En Blanco)</t>
  </si>
  <si>
    <t>20/03/2026 15:38:24</t>
  </si>
  <si>
    <t>28/03/2026 13:51:00</t>
  </si>
  <si>
    <t>689466701807</t>
  </si>
  <si>
    <t>DR DENT POPULAR TOOTHPAS PASTX180GR MULT-EFE DESC</t>
  </si>
  <si>
    <t>21/03/2026 11:27:24</t>
  </si>
  <si>
    <t>11/03/2026 08:54:45</t>
  </si>
  <si>
    <t>13/03/2026 11:49:06</t>
  </si>
  <si>
    <t>7703763664603</t>
  </si>
  <si>
    <t>FUNGINAZ 200MG X 4 CAP FLUCONAZOL FARMACORP</t>
  </si>
  <si>
    <t>21/03/2026 14:04:33</t>
  </si>
  <si>
    <t>7730963250084</t>
  </si>
  <si>
    <t>POSTPIL 1.5MG X 1 COMP LEVONORGESTREL</t>
  </si>
  <si>
    <t>28/03/2026 09:55:57</t>
  </si>
  <si>
    <t>13/03/2026 16:02:05</t>
  </si>
  <si>
    <t>11/03/2026 08:35:50</t>
  </si>
  <si>
    <t>25/03/2026 15:16:01</t>
  </si>
  <si>
    <t>7777200010117</t>
  </si>
  <si>
    <t>NEXCARE MICROPORE PIEL 3M 1  (HP)(DESC)</t>
  </si>
  <si>
    <t>07/03/2026 18:05:09</t>
  </si>
  <si>
    <t>7806500174202</t>
  </si>
  <si>
    <t>ELITE PANUELO D  BOLSILLO TH X 10 UNID MENT DESC</t>
  </si>
  <si>
    <t>12/03/2026 17:08:40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</si>
</sst>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6"/>
  <sheetViews>
    <sheetView tabSelected="1" zoomScale="70" zoomScaleNormal="70" workbookViewId="0">
      <selection activeCell="B7" sqref="B7"/>
    </sheetView>
  </sheetViews>
  <sheetFormatPr baseColWidth="10" defaultColWidth="9.140625" defaultRowHeight="15" x14ac:dyDescent="0.25"/>
  <cols>
    <col min="1" max="1" width="15.7109375" bestFit="1" customWidth="1"/>
    <col min="2" max="2" width="17.28515625" bestFit="1" customWidth="1"/>
    <col min="3" max="3" width="60.85546875" bestFit="1" customWidth="1"/>
    <col min="4" max="4" width="10.85546875" bestFit="1" customWidth="1"/>
    <col min="5" max="5" width="18.42578125" bestFit="1" customWidth="1"/>
    <col min="6" max="6" width="13" bestFit="1" customWidth="1"/>
    <col min="7" max="7" width="14.5703125" bestFit="1" customWidth="1"/>
    <col min="8" max="8" width="6.2851562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tr">
        <f>"2371634"</f>
        <v>2371634</v>
      </c>
      <c r="B2" t="s">
        <v>8</v>
      </c>
      <c r="C2" t="s">
        <v>9</v>
      </c>
      <c r="D2" t="s">
        <v>10</v>
      </c>
      <c r="E2" t="s">
        <v>11</v>
      </c>
      <c r="F2">
        <v>1000</v>
      </c>
      <c r="G2">
        <v>0</v>
      </c>
      <c r="H2">
        <v>1000</v>
      </c>
    </row>
    <row r="3" spans="1:8" x14ac:dyDescent="0.25">
      <c r="A3" t="str">
        <f>"2432658"</f>
        <v>2432658</v>
      </c>
      <c r="B3" t="s">
        <v>12</v>
      </c>
      <c r="C3" t="s">
        <v>13</v>
      </c>
      <c r="D3" t="s">
        <v>10</v>
      </c>
      <c r="E3" t="s">
        <v>14</v>
      </c>
      <c r="F3">
        <v>15</v>
      </c>
      <c r="G3">
        <v>0</v>
      </c>
      <c r="H3">
        <v>9</v>
      </c>
    </row>
    <row r="4" spans="1:8" x14ac:dyDescent="0.25">
      <c r="A4" t="str">
        <f>"2436329"</f>
        <v>2436329</v>
      </c>
      <c r="B4" t="s">
        <v>8</v>
      </c>
      <c r="C4" t="s">
        <v>9</v>
      </c>
      <c r="D4" t="s">
        <v>10</v>
      </c>
      <c r="E4" t="s">
        <v>15</v>
      </c>
      <c r="F4">
        <v>0</v>
      </c>
      <c r="G4">
        <v>0</v>
      </c>
      <c r="H4">
        <v>1000</v>
      </c>
    </row>
    <row r="5" spans="1:8" x14ac:dyDescent="0.25">
      <c r="A5" t="s">
        <v>16</v>
      </c>
      <c r="B5" t="s">
        <v>17</v>
      </c>
      <c r="C5" t="s">
        <v>18</v>
      </c>
      <c r="D5" t="s">
        <v>10</v>
      </c>
      <c r="E5" t="s">
        <v>19</v>
      </c>
      <c r="F5">
        <v>120</v>
      </c>
      <c r="G5">
        <v>0</v>
      </c>
      <c r="H5">
        <v>210</v>
      </c>
    </row>
    <row r="6" spans="1:8" x14ac:dyDescent="0.25">
      <c r="A6" t="s">
        <v>20</v>
      </c>
      <c r="B6" t="s">
        <v>21</v>
      </c>
      <c r="C6" t="s">
        <v>22</v>
      </c>
      <c r="D6" t="s">
        <v>23</v>
      </c>
      <c r="E6" t="s">
        <v>24</v>
      </c>
      <c r="F6">
        <v>0</v>
      </c>
      <c r="G6">
        <v>0</v>
      </c>
      <c r="H6">
        <v>35</v>
      </c>
    </row>
    <row r="7" spans="1:8" x14ac:dyDescent="0.25">
      <c r="A7" t="s">
        <v>25</v>
      </c>
      <c r="B7" t="s">
        <v>26</v>
      </c>
      <c r="C7" t="s">
        <v>27</v>
      </c>
      <c r="D7" t="s">
        <v>23</v>
      </c>
      <c r="E7" t="s">
        <v>28</v>
      </c>
      <c r="F7">
        <v>0</v>
      </c>
      <c r="G7">
        <v>0</v>
      </c>
      <c r="H7">
        <v>1</v>
      </c>
    </row>
    <row r="8" spans="1:8" x14ac:dyDescent="0.25">
      <c r="A8" t="s">
        <v>29</v>
      </c>
      <c r="B8" t="s">
        <v>30</v>
      </c>
      <c r="C8" t="s">
        <v>31</v>
      </c>
      <c r="D8" t="s">
        <v>23</v>
      </c>
      <c r="E8" t="s">
        <v>32</v>
      </c>
      <c r="F8">
        <v>0</v>
      </c>
      <c r="G8">
        <v>0</v>
      </c>
      <c r="H8">
        <v>1</v>
      </c>
    </row>
    <row r="9" spans="1:8" x14ac:dyDescent="0.25">
      <c r="A9" t="s">
        <v>33</v>
      </c>
      <c r="B9" t="s">
        <v>12</v>
      </c>
      <c r="C9" t="s">
        <v>13</v>
      </c>
      <c r="D9" t="s">
        <v>23</v>
      </c>
      <c r="E9" t="s">
        <v>34</v>
      </c>
      <c r="F9">
        <v>0</v>
      </c>
      <c r="G9">
        <v>0</v>
      </c>
      <c r="H9">
        <v>9</v>
      </c>
    </row>
    <row r="10" spans="1:8" x14ac:dyDescent="0.25">
      <c r="A10" t="s">
        <v>35</v>
      </c>
      <c r="B10" t="s">
        <v>36</v>
      </c>
      <c r="C10" t="s">
        <v>37</v>
      </c>
      <c r="D10" t="s">
        <v>23</v>
      </c>
      <c r="E10" t="s">
        <v>38</v>
      </c>
      <c r="F10">
        <v>0</v>
      </c>
      <c r="G10">
        <v>0</v>
      </c>
      <c r="H10">
        <v>164</v>
      </c>
    </row>
    <row r="11" spans="1:8" x14ac:dyDescent="0.25">
      <c r="A11" t="s">
        <v>39</v>
      </c>
      <c r="B11" t="s">
        <v>40</v>
      </c>
      <c r="C11" t="s">
        <v>41</v>
      </c>
      <c r="D11" t="s">
        <v>23</v>
      </c>
      <c r="E11" t="s">
        <v>42</v>
      </c>
      <c r="F11">
        <v>12</v>
      </c>
      <c r="G11">
        <v>1</v>
      </c>
      <c r="H11">
        <v>1</v>
      </c>
    </row>
    <row r="12" spans="1:8" x14ac:dyDescent="0.25">
      <c r="A12" t="s">
        <v>43</v>
      </c>
      <c r="B12" t="s">
        <v>44</v>
      </c>
      <c r="C12" t="s">
        <v>45</v>
      </c>
      <c r="D12" t="s">
        <v>23</v>
      </c>
      <c r="E12" t="s">
        <v>46</v>
      </c>
      <c r="F12">
        <v>0</v>
      </c>
      <c r="G12">
        <v>0</v>
      </c>
      <c r="H12">
        <v>8</v>
      </c>
    </row>
    <row r="13" spans="1:8" x14ac:dyDescent="0.25">
      <c r="A13" t="s">
        <v>47</v>
      </c>
      <c r="B13" t="s">
        <v>48</v>
      </c>
      <c r="C13" t="s">
        <v>49</v>
      </c>
      <c r="D13" t="s">
        <v>23</v>
      </c>
      <c r="E13" t="s">
        <v>50</v>
      </c>
      <c r="F13">
        <v>618</v>
      </c>
      <c r="G13">
        <v>0</v>
      </c>
      <c r="H13">
        <v>6</v>
      </c>
    </row>
    <row r="14" spans="1:8" x14ac:dyDescent="0.25">
      <c r="A14" t="s">
        <v>51</v>
      </c>
      <c r="B14" t="s">
        <v>52</v>
      </c>
      <c r="C14" t="s">
        <v>53</v>
      </c>
      <c r="D14" t="s">
        <v>23</v>
      </c>
      <c r="E14" t="s">
        <v>54</v>
      </c>
      <c r="F14">
        <v>0</v>
      </c>
      <c r="G14">
        <v>0</v>
      </c>
      <c r="H14">
        <v>6</v>
      </c>
    </row>
    <row r="15" spans="1:8" x14ac:dyDescent="0.25">
      <c r="A15" t="s">
        <v>55</v>
      </c>
      <c r="B15" t="s">
        <v>56</v>
      </c>
      <c r="C15" t="s">
        <v>57</v>
      </c>
      <c r="D15" t="s">
        <v>23</v>
      </c>
      <c r="E15" t="s">
        <v>58</v>
      </c>
      <c r="F15">
        <v>0</v>
      </c>
      <c r="G15">
        <v>0</v>
      </c>
      <c r="H15">
        <v>24</v>
      </c>
    </row>
    <row r="16" spans="1:8" x14ac:dyDescent="0.25">
      <c r="A16" t="s">
        <v>59</v>
      </c>
      <c r="B16" t="s">
        <v>60</v>
      </c>
      <c r="C16" t="s">
        <v>61</v>
      </c>
      <c r="D16" t="s">
        <v>23</v>
      </c>
      <c r="E16" t="s">
        <v>62</v>
      </c>
      <c r="F16">
        <v>500</v>
      </c>
      <c r="G16">
        <v>350</v>
      </c>
      <c r="H16">
        <v>10</v>
      </c>
    </row>
    <row r="17" spans="1:8" x14ac:dyDescent="0.25">
      <c r="A17" t="s">
        <v>63</v>
      </c>
      <c r="B17" t="s">
        <v>12</v>
      </c>
      <c r="C17" t="s">
        <v>13</v>
      </c>
      <c r="D17" t="s">
        <v>23</v>
      </c>
      <c r="E17" t="s">
        <v>64</v>
      </c>
      <c r="F17">
        <v>384</v>
      </c>
      <c r="G17">
        <v>349</v>
      </c>
      <c r="H17">
        <v>9</v>
      </c>
    </row>
    <row r="18" spans="1:8" x14ac:dyDescent="0.25">
      <c r="A18" t="s">
        <v>65</v>
      </c>
      <c r="B18" t="s">
        <v>66</v>
      </c>
      <c r="C18" t="s">
        <v>67</v>
      </c>
      <c r="D18" t="s">
        <v>23</v>
      </c>
      <c r="E18" t="s">
        <v>68</v>
      </c>
      <c r="F18">
        <v>0</v>
      </c>
      <c r="G18">
        <v>0</v>
      </c>
      <c r="H18">
        <v>3</v>
      </c>
    </row>
    <row r="19" spans="1:8" x14ac:dyDescent="0.25">
      <c r="A19" t="s">
        <v>69</v>
      </c>
      <c r="B19" t="s">
        <v>70</v>
      </c>
      <c r="C19" t="s">
        <v>71</v>
      </c>
      <c r="D19" t="s">
        <v>23</v>
      </c>
      <c r="E19" t="s">
        <v>72</v>
      </c>
      <c r="F19">
        <v>48</v>
      </c>
      <c r="G19">
        <v>1</v>
      </c>
      <c r="H19">
        <v>1</v>
      </c>
    </row>
    <row r="20" spans="1:8" x14ac:dyDescent="0.25">
      <c r="A20" t="s">
        <v>73</v>
      </c>
      <c r="B20" t="s">
        <v>74</v>
      </c>
      <c r="C20" t="s">
        <v>75</v>
      </c>
      <c r="D20" t="s">
        <v>23</v>
      </c>
      <c r="E20" t="s">
        <v>76</v>
      </c>
      <c r="F20">
        <v>0</v>
      </c>
      <c r="G20">
        <v>0</v>
      </c>
      <c r="H20">
        <v>44</v>
      </c>
    </row>
    <row r="21" spans="1:8" x14ac:dyDescent="0.25">
      <c r="A21" t="s">
        <v>77</v>
      </c>
      <c r="B21" t="s">
        <v>78</v>
      </c>
      <c r="C21" t="s">
        <v>79</v>
      </c>
      <c r="D21" t="s">
        <v>23</v>
      </c>
      <c r="E21" t="s">
        <v>80</v>
      </c>
      <c r="F21">
        <v>0</v>
      </c>
      <c r="G21">
        <v>0</v>
      </c>
      <c r="H21">
        <v>415</v>
      </c>
    </row>
    <row r="22" spans="1:8" x14ac:dyDescent="0.25">
      <c r="A22" t="s">
        <v>81</v>
      </c>
      <c r="B22" t="s">
        <v>82</v>
      </c>
      <c r="C22" t="s">
        <v>83</v>
      </c>
      <c r="D22" t="s">
        <v>23</v>
      </c>
      <c r="E22" t="s">
        <v>84</v>
      </c>
      <c r="F22">
        <v>1100</v>
      </c>
      <c r="G22">
        <v>0</v>
      </c>
      <c r="H22">
        <v>300</v>
      </c>
    </row>
    <row r="23" spans="1:8" x14ac:dyDescent="0.25">
      <c r="A23" t="s">
        <v>85</v>
      </c>
      <c r="B23" t="s">
        <v>48</v>
      </c>
      <c r="C23" t="s">
        <v>49</v>
      </c>
      <c r="D23" t="s">
        <v>23</v>
      </c>
      <c r="E23" t="s">
        <v>86</v>
      </c>
      <c r="F23">
        <v>228</v>
      </c>
      <c r="G23">
        <v>0</v>
      </c>
      <c r="H23">
        <v>6</v>
      </c>
    </row>
    <row r="24" spans="1:8" x14ac:dyDescent="0.25">
      <c r="A24" t="s">
        <v>85</v>
      </c>
      <c r="B24" t="s">
        <v>87</v>
      </c>
      <c r="C24" t="s">
        <v>88</v>
      </c>
      <c r="D24" t="s">
        <v>23</v>
      </c>
      <c r="E24" t="s">
        <v>89</v>
      </c>
      <c r="F24">
        <v>372</v>
      </c>
      <c r="G24">
        <v>0</v>
      </c>
      <c r="H24">
        <v>36</v>
      </c>
    </row>
    <row r="25" spans="1:8" x14ac:dyDescent="0.25">
      <c r="A25" t="s">
        <v>90</v>
      </c>
      <c r="B25" t="s">
        <v>91</v>
      </c>
      <c r="C25" t="s">
        <v>92</v>
      </c>
      <c r="D25" t="s">
        <v>23</v>
      </c>
      <c r="E25" t="s">
        <v>93</v>
      </c>
      <c r="F25">
        <v>4</v>
      </c>
      <c r="G25">
        <v>0</v>
      </c>
      <c r="H25">
        <v>1</v>
      </c>
    </row>
    <row r="26" spans="1:8" x14ac:dyDescent="0.25">
      <c r="A26" t="s">
        <v>94</v>
      </c>
      <c r="B26" t="s">
        <v>95</v>
      </c>
      <c r="C26" t="s">
        <v>96</v>
      </c>
      <c r="D26" t="s">
        <v>23</v>
      </c>
      <c r="E26" t="s">
        <v>97</v>
      </c>
      <c r="F26">
        <v>384</v>
      </c>
      <c r="G26">
        <v>9</v>
      </c>
      <c r="H26">
        <v>1</v>
      </c>
    </row>
    <row r="27" spans="1:8" x14ac:dyDescent="0.25">
      <c r="A27" t="s">
        <v>98</v>
      </c>
      <c r="B27" t="s">
        <v>99</v>
      </c>
      <c r="C27" t="s">
        <v>100</v>
      </c>
      <c r="D27" t="s">
        <v>23</v>
      </c>
      <c r="E27" t="s">
        <v>101</v>
      </c>
      <c r="F27">
        <v>0</v>
      </c>
      <c r="G27">
        <v>0</v>
      </c>
      <c r="H27">
        <v>60</v>
      </c>
    </row>
    <row r="28" spans="1:8" x14ac:dyDescent="0.25">
      <c r="A28" t="s">
        <v>102</v>
      </c>
      <c r="B28" t="s">
        <v>70</v>
      </c>
      <c r="C28" t="s">
        <v>71</v>
      </c>
      <c r="D28" t="s">
        <v>23</v>
      </c>
      <c r="E28" t="s">
        <v>103</v>
      </c>
      <c r="F28">
        <v>0</v>
      </c>
      <c r="G28">
        <v>0</v>
      </c>
      <c r="H28">
        <v>1</v>
      </c>
    </row>
    <row r="29" spans="1:8" x14ac:dyDescent="0.25">
      <c r="A29" t="s">
        <v>104</v>
      </c>
      <c r="B29" t="s">
        <v>105</v>
      </c>
      <c r="C29" t="s">
        <v>106</v>
      </c>
      <c r="D29" t="s">
        <v>23</v>
      </c>
      <c r="E29" t="s">
        <v>107</v>
      </c>
      <c r="F29">
        <v>0</v>
      </c>
      <c r="G29">
        <v>0</v>
      </c>
      <c r="H29">
        <v>1230</v>
      </c>
    </row>
    <row r="30" spans="1:8" x14ac:dyDescent="0.25">
      <c r="A30" t="s">
        <v>108</v>
      </c>
      <c r="B30" t="s">
        <v>12</v>
      </c>
      <c r="C30" t="s">
        <v>13</v>
      </c>
      <c r="D30" t="s">
        <v>23</v>
      </c>
      <c r="E30" t="s">
        <v>109</v>
      </c>
      <c r="F30">
        <v>1904</v>
      </c>
      <c r="G30">
        <v>1872</v>
      </c>
      <c r="H30">
        <v>9</v>
      </c>
    </row>
    <row r="31" spans="1:8" x14ac:dyDescent="0.25">
      <c r="A31" t="s">
        <v>110</v>
      </c>
      <c r="B31" t="s">
        <v>21</v>
      </c>
      <c r="C31" t="s">
        <v>22</v>
      </c>
      <c r="D31" t="s">
        <v>23</v>
      </c>
      <c r="E31" t="s">
        <v>111</v>
      </c>
      <c r="F31">
        <v>0</v>
      </c>
      <c r="G31">
        <v>0</v>
      </c>
      <c r="H31">
        <v>35</v>
      </c>
    </row>
    <row r="32" spans="1:8" x14ac:dyDescent="0.25">
      <c r="A32" t="s">
        <v>112</v>
      </c>
      <c r="B32" t="s">
        <v>60</v>
      </c>
      <c r="C32" t="s">
        <v>61</v>
      </c>
      <c r="D32" t="s">
        <v>23</v>
      </c>
      <c r="E32" t="s">
        <v>113</v>
      </c>
      <c r="F32">
        <v>0</v>
      </c>
      <c r="G32">
        <v>0</v>
      </c>
      <c r="H32">
        <v>10</v>
      </c>
    </row>
    <row r="33" spans="1:8" x14ac:dyDescent="0.25">
      <c r="A33" t="s">
        <v>114</v>
      </c>
      <c r="B33" t="s">
        <v>115</v>
      </c>
      <c r="C33" t="s">
        <v>116</v>
      </c>
      <c r="D33" t="s">
        <v>23</v>
      </c>
      <c r="E33" t="s">
        <v>117</v>
      </c>
      <c r="F33">
        <v>720</v>
      </c>
      <c r="G33">
        <v>0</v>
      </c>
      <c r="H33">
        <v>1</v>
      </c>
    </row>
    <row r="34" spans="1:8" x14ac:dyDescent="0.25">
      <c r="A34" t="s">
        <v>118</v>
      </c>
      <c r="B34" t="s">
        <v>26</v>
      </c>
      <c r="C34" t="s">
        <v>27</v>
      </c>
      <c r="D34" t="s">
        <v>23</v>
      </c>
      <c r="E34" t="s">
        <v>119</v>
      </c>
      <c r="F34">
        <v>21</v>
      </c>
      <c r="G34">
        <v>4</v>
      </c>
      <c r="H34">
        <v>1</v>
      </c>
    </row>
    <row r="35" spans="1:8" x14ac:dyDescent="0.25">
      <c r="A35" t="s">
        <v>120</v>
      </c>
      <c r="B35" t="s">
        <v>44</v>
      </c>
      <c r="C35" t="s">
        <v>45</v>
      </c>
      <c r="D35" t="s">
        <v>23</v>
      </c>
      <c r="E35" t="s">
        <v>121</v>
      </c>
      <c r="F35">
        <v>3840</v>
      </c>
      <c r="G35">
        <v>2712</v>
      </c>
      <c r="H35">
        <v>8</v>
      </c>
    </row>
    <row r="36" spans="1:8" x14ac:dyDescent="0.25">
      <c r="A36" t="s">
        <v>122</v>
      </c>
      <c r="B36" t="s">
        <v>123</v>
      </c>
      <c r="C36" t="s">
        <v>124</v>
      </c>
      <c r="D36" t="s">
        <v>23</v>
      </c>
      <c r="E36" t="s">
        <v>125</v>
      </c>
      <c r="F36">
        <v>0</v>
      </c>
      <c r="G36">
        <v>0</v>
      </c>
      <c r="H36">
        <v>6</v>
      </c>
    </row>
    <row r="37" spans="1:8" x14ac:dyDescent="0.25">
      <c r="A37" t="s">
        <v>126</v>
      </c>
      <c r="B37" t="s">
        <v>127</v>
      </c>
      <c r="C37" t="s">
        <v>128</v>
      </c>
      <c r="D37" t="s">
        <v>23</v>
      </c>
      <c r="E37" t="s">
        <v>129</v>
      </c>
      <c r="F37">
        <v>24</v>
      </c>
      <c r="G37">
        <v>3</v>
      </c>
      <c r="H37">
        <v>2</v>
      </c>
    </row>
    <row r="38" spans="1:8" x14ac:dyDescent="0.25">
      <c r="A38" t="s">
        <v>126</v>
      </c>
      <c r="B38" t="s">
        <v>130</v>
      </c>
      <c r="C38" t="s">
        <v>131</v>
      </c>
      <c r="D38" t="s">
        <v>23</v>
      </c>
      <c r="E38" t="s">
        <v>132</v>
      </c>
      <c r="F38">
        <v>96</v>
      </c>
      <c r="G38">
        <v>48</v>
      </c>
      <c r="H38">
        <v>2</v>
      </c>
    </row>
    <row r="39" spans="1:8" x14ac:dyDescent="0.25">
      <c r="A39" t="s">
        <v>133</v>
      </c>
      <c r="B39" t="s">
        <v>30</v>
      </c>
      <c r="C39" t="s">
        <v>31</v>
      </c>
      <c r="D39" t="s">
        <v>23</v>
      </c>
      <c r="E39" t="s">
        <v>134</v>
      </c>
      <c r="F39">
        <v>0</v>
      </c>
      <c r="G39">
        <v>0</v>
      </c>
      <c r="H39">
        <v>1</v>
      </c>
    </row>
    <row r="40" spans="1:8" x14ac:dyDescent="0.25">
      <c r="A40" t="s">
        <v>135</v>
      </c>
      <c r="B40" t="s">
        <v>91</v>
      </c>
      <c r="C40" t="s">
        <v>92</v>
      </c>
      <c r="D40" t="s">
        <v>23</v>
      </c>
      <c r="E40" t="s">
        <v>136</v>
      </c>
      <c r="F40">
        <v>9</v>
      </c>
      <c r="G40">
        <v>6</v>
      </c>
      <c r="H40">
        <v>1</v>
      </c>
    </row>
    <row r="41" spans="1:8" x14ac:dyDescent="0.25">
      <c r="A41" t="s">
        <v>137</v>
      </c>
      <c r="B41" t="s">
        <v>138</v>
      </c>
      <c r="C41" t="s">
        <v>139</v>
      </c>
      <c r="D41" t="s">
        <v>23</v>
      </c>
      <c r="E41" t="s">
        <v>140</v>
      </c>
      <c r="F41">
        <v>19200</v>
      </c>
      <c r="G41">
        <v>17284</v>
      </c>
      <c r="H41">
        <v>40</v>
      </c>
    </row>
    <row r="42" spans="1:8" x14ac:dyDescent="0.25">
      <c r="A42" t="s">
        <v>141</v>
      </c>
      <c r="B42" t="s">
        <v>66</v>
      </c>
      <c r="C42" t="s">
        <v>67</v>
      </c>
      <c r="D42" t="s">
        <v>23</v>
      </c>
      <c r="E42" t="s">
        <v>142</v>
      </c>
      <c r="F42">
        <v>0</v>
      </c>
      <c r="G42">
        <v>0</v>
      </c>
      <c r="H42">
        <v>3</v>
      </c>
    </row>
    <row r="43" spans="1:8" x14ac:dyDescent="0.25">
      <c r="A43" t="s">
        <v>143</v>
      </c>
      <c r="B43" t="s">
        <v>95</v>
      </c>
      <c r="C43" t="s">
        <v>96</v>
      </c>
      <c r="D43" t="s">
        <v>23</v>
      </c>
      <c r="E43" t="s">
        <v>144</v>
      </c>
      <c r="F43">
        <v>0</v>
      </c>
      <c r="G43">
        <v>0</v>
      </c>
      <c r="H43">
        <v>1</v>
      </c>
    </row>
    <row r="44" spans="1:8" x14ac:dyDescent="0.25">
      <c r="A44" t="s">
        <v>145</v>
      </c>
      <c r="B44" t="s">
        <v>70</v>
      </c>
      <c r="C44" t="s">
        <v>71</v>
      </c>
      <c r="D44" t="s">
        <v>23</v>
      </c>
      <c r="E44" t="s">
        <v>146</v>
      </c>
      <c r="F44">
        <v>432</v>
      </c>
      <c r="G44">
        <v>0</v>
      </c>
      <c r="H44">
        <v>1</v>
      </c>
    </row>
    <row r="45" spans="1:8" x14ac:dyDescent="0.25">
      <c r="A45" t="s">
        <v>147</v>
      </c>
      <c r="B45" t="s">
        <v>82</v>
      </c>
      <c r="C45" t="s">
        <v>83</v>
      </c>
      <c r="D45" t="s">
        <v>23</v>
      </c>
      <c r="E45" t="s">
        <v>148</v>
      </c>
      <c r="F45">
        <v>4700</v>
      </c>
      <c r="G45">
        <v>10</v>
      </c>
      <c r="H45">
        <v>300</v>
      </c>
    </row>
    <row r="46" spans="1:8" x14ac:dyDescent="0.25">
      <c r="A46" t="s">
        <v>149</v>
      </c>
      <c r="B46" t="s">
        <v>70</v>
      </c>
      <c r="C46" t="s">
        <v>71</v>
      </c>
      <c r="D46" t="s">
        <v>23</v>
      </c>
      <c r="E46" t="s">
        <v>150</v>
      </c>
      <c r="F46">
        <v>1296</v>
      </c>
      <c r="G46">
        <v>12</v>
      </c>
      <c r="H46">
        <v>1</v>
      </c>
    </row>
    <row r="47" spans="1:8" x14ac:dyDescent="0.25">
      <c r="A47" t="s">
        <v>151</v>
      </c>
      <c r="B47" t="s">
        <v>152</v>
      </c>
      <c r="C47" t="s">
        <v>153</v>
      </c>
      <c r="D47" t="s">
        <v>23</v>
      </c>
      <c r="E47" t="s">
        <v>154</v>
      </c>
      <c r="F47">
        <v>0</v>
      </c>
      <c r="G47">
        <v>0</v>
      </c>
      <c r="H47">
        <v>4</v>
      </c>
    </row>
    <row r="48" spans="1:8" x14ac:dyDescent="0.25">
      <c r="A48" t="s">
        <v>155</v>
      </c>
      <c r="B48" t="s">
        <v>156</v>
      </c>
      <c r="C48" t="s">
        <v>157</v>
      </c>
      <c r="D48" t="s">
        <v>23</v>
      </c>
      <c r="E48" t="s">
        <v>158</v>
      </c>
      <c r="F48">
        <v>240</v>
      </c>
      <c r="G48">
        <v>24</v>
      </c>
      <c r="H48">
        <v>11</v>
      </c>
    </row>
    <row r="49" spans="1:8" x14ac:dyDescent="0.25">
      <c r="A49" t="s">
        <v>155</v>
      </c>
      <c r="B49" t="s">
        <v>115</v>
      </c>
      <c r="C49" t="s">
        <v>116</v>
      </c>
      <c r="D49" t="s">
        <v>23</v>
      </c>
      <c r="E49" t="s">
        <v>159</v>
      </c>
      <c r="F49">
        <v>394</v>
      </c>
      <c r="G49">
        <v>0</v>
      </c>
      <c r="H49">
        <v>1</v>
      </c>
    </row>
    <row r="50" spans="1:8" x14ac:dyDescent="0.25">
      <c r="A50" s="1" t="s">
        <v>160</v>
      </c>
      <c r="B50" s="1" t="s">
        <v>74</v>
      </c>
      <c r="C50" s="1" t="s">
        <v>75</v>
      </c>
      <c r="D50" s="1" t="s">
        <v>161</v>
      </c>
      <c r="E50" s="1" t="s">
        <v>162</v>
      </c>
      <c r="F50" s="1">
        <v>0</v>
      </c>
      <c r="G50" s="1">
        <v>0</v>
      </c>
      <c r="H50" s="1">
        <v>44</v>
      </c>
    </row>
    <row r="51" spans="1:8" x14ac:dyDescent="0.25">
      <c r="A51" s="1" t="s">
        <v>163</v>
      </c>
      <c r="B51" s="1" t="s">
        <v>74</v>
      </c>
      <c r="C51" s="1" t="s">
        <v>75</v>
      </c>
      <c r="D51" s="1" t="s">
        <v>161</v>
      </c>
      <c r="E51" s="1" t="s">
        <v>164</v>
      </c>
      <c r="F51" s="1">
        <v>0</v>
      </c>
      <c r="G51" s="1">
        <v>0</v>
      </c>
      <c r="H51" s="1">
        <v>44</v>
      </c>
    </row>
    <row r="52" spans="1:8" x14ac:dyDescent="0.25">
      <c r="A52" s="1" t="s">
        <v>165</v>
      </c>
      <c r="B52" s="1" t="s">
        <v>74</v>
      </c>
      <c r="C52" s="1" t="s">
        <v>75</v>
      </c>
      <c r="D52" s="1" t="s">
        <v>161</v>
      </c>
      <c r="E52" s="1" t="s">
        <v>166</v>
      </c>
      <c r="F52" s="1">
        <v>0</v>
      </c>
      <c r="G52" s="1">
        <v>0</v>
      </c>
      <c r="H52" s="1">
        <v>44</v>
      </c>
    </row>
    <row r="53" spans="1:8" x14ac:dyDescent="0.25">
      <c r="A53" s="1" t="s">
        <v>167</v>
      </c>
      <c r="B53" s="1" t="s">
        <v>82</v>
      </c>
      <c r="C53" s="1" t="s">
        <v>83</v>
      </c>
      <c r="D53" s="1" t="s">
        <v>161</v>
      </c>
      <c r="E53" s="1" t="s">
        <v>168</v>
      </c>
      <c r="F53" s="1">
        <v>0</v>
      </c>
      <c r="G53" s="1">
        <v>4</v>
      </c>
      <c r="H53" s="1">
        <v>300</v>
      </c>
    </row>
    <row r="54" spans="1:8" x14ac:dyDescent="0.25">
      <c r="A54" t="s">
        <v>169</v>
      </c>
      <c r="B54" t="s">
        <v>52</v>
      </c>
      <c r="C54" t="s">
        <v>53</v>
      </c>
      <c r="D54" t="s">
        <v>169</v>
      </c>
      <c r="E54" t="s">
        <v>170</v>
      </c>
      <c r="F54">
        <v>0</v>
      </c>
      <c r="G54">
        <v>0</v>
      </c>
      <c r="H54">
        <v>6</v>
      </c>
    </row>
    <row r="55" spans="1:8" x14ac:dyDescent="0.25">
      <c r="A55" t="s">
        <v>169</v>
      </c>
      <c r="B55" t="s">
        <v>70</v>
      </c>
      <c r="C55" t="s">
        <v>71</v>
      </c>
      <c r="D55" t="s">
        <v>169</v>
      </c>
      <c r="E55" t="s">
        <v>171</v>
      </c>
      <c r="F55">
        <v>0</v>
      </c>
      <c r="G55">
        <v>0</v>
      </c>
      <c r="H55">
        <v>1</v>
      </c>
    </row>
    <row r="56" spans="1:8" x14ac:dyDescent="0.25">
      <c r="A56" t="s">
        <v>169</v>
      </c>
      <c r="B56" t="s">
        <v>172</v>
      </c>
      <c r="C56" t="s">
        <v>173</v>
      </c>
      <c r="D56" t="s">
        <v>169</v>
      </c>
      <c r="E56" t="s">
        <v>174</v>
      </c>
      <c r="F56">
        <v>0</v>
      </c>
      <c r="G56">
        <v>3</v>
      </c>
      <c r="H56">
        <v>3</v>
      </c>
    </row>
    <row r="57" spans="1:8" x14ac:dyDescent="0.25">
      <c r="A57" t="s">
        <v>169</v>
      </c>
      <c r="B57" t="s">
        <v>138</v>
      </c>
      <c r="C57" t="s">
        <v>139</v>
      </c>
      <c r="D57" t="s">
        <v>169</v>
      </c>
      <c r="E57" t="s">
        <v>175</v>
      </c>
      <c r="F57">
        <v>0</v>
      </c>
      <c r="G57">
        <v>0</v>
      </c>
      <c r="H57">
        <v>40</v>
      </c>
    </row>
    <row r="58" spans="1:8" x14ac:dyDescent="0.25">
      <c r="A58" t="s">
        <v>169</v>
      </c>
      <c r="B58" t="s">
        <v>60</v>
      </c>
      <c r="C58" t="s">
        <v>61</v>
      </c>
      <c r="D58" t="s">
        <v>169</v>
      </c>
      <c r="E58" t="s">
        <v>176</v>
      </c>
      <c r="F58">
        <v>0</v>
      </c>
      <c r="G58">
        <v>0</v>
      </c>
      <c r="H58">
        <v>10</v>
      </c>
    </row>
    <row r="59" spans="1:8" x14ac:dyDescent="0.25">
      <c r="A59" t="s">
        <v>169</v>
      </c>
      <c r="B59" t="s">
        <v>177</v>
      </c>
      <c r="C59" t="s">
        <v>178</v>
      </c>
      <c r="D59" t="s">
        <v>169</v>
      </c>
      <c r="E59" t="s">
        <v>179</v>
      </c>
      <c r="F59">
        <v>0</v>
      </c>
      <c r="G59">
        <v>0</v>
      </c>
      <c r="H59">
        <v>64</v>
      </c>
    </row>
    <row r="60" spans="1:8" x14ac:dyDescent="0.25">
      <c r="A60" t="s">
        <v>169</v>
      </c>
      <c r="B60" t="s">
        <v>180</v>
      </c>
      <c r="C60" t="s">
        <v>181</v>
      </c>
      <c r="D60" t="s">
        <v>169</v>
      </c>
      <c r="E60" t="s">
        <v>176</v>
      </c>
      <c r="F60">
        <v>0</v>
      </c>
      <c r="G60">
        <v>0</v>
      </c>
      <c r="H60">
        <v>1</v>
      </c>
    </row>
    <row r="61" spans="1:8" x14ac:dyDescent="0.25">
      <c r="A61" t="s">
        <v>169</v>
      </c>
      <c r="B61" t="s">
        <v>26</v>
      </c>
      <c r="C61" t="s">
        <v>27</v>
      </c>
      <c r="D61" t="s">
        <v>169</v>
      </c>
      <c r="E61" t="s">
        <v>182</v>
      </c>
      <c r="F61">
        <v>0</v>
      </c>
      <c r="G61">
        <v>0</v>
      </c>
      <c r="H61">
        <v>1</v>
      </c>
    </row>
    <row r="62" spans="1:8" x14ac:dyDescent="0.25">
      <c r="A62" t="s">
        <v>169</v>
      </c>
      <c r="B62" t="s">
        <v>12</v>
      </c>
      <c r="C62" t="s">
        <v>13</v>
      </c>
      <c r="D62" t="s">
        <v>169</v>
      </c>
      <c r="E62" t="s">
        <v>183</v>
      </c>
      <c r="F62">
        <v>0</v>
      </c>
      <c r="G62">
        <v>0</v>
      </c>
      <c r="H62">
        <v>9</v>
      </c>
    </row>
    <row r="63" spans="1:8" x14ac:dyDescent="0.25">
      <c r="A63" t="s">
        <v>169</v>
      </c>
      <c r="B63" t="s">
        <v>44</v>
      </c>
      <c r="C63" t="s">
        <v>45</v>
      </c>
      <c r="D63" t="s">
        <v>169</v>
      </c>
      <c r="E63" t="s">
        <v>184</v>
      </c>
      <c r="F63">
        <v>0</v>
      </c>
      <c r="G63">
        <v>0</v>
      </c>
      <c r="H63">
        <v>8</v>
      </c>
    </row>
    <row r="64" spans="1:8" x14ac:dyDescent="0.25">
      <c r="A64" t="s">
        <v>169</v>
      </c>
      <c r="B64" t="s">
        <v>87</v>
      </c>
      <c r="C64" t="s">
        <v>88</v>
      </c>
      <c r="D64" t="s">
        <v>169</v>
      </c>
      <c r="E64" t="s">
        <v>185</v>
      </c>
      <c r="F64">
        <v>0</v>
      </c>
      <c r="G64">
        <v>2</v>
      </c>
      <c r="H64">
        <v>36</v>
      </c>
    </row>
    <row r="65" spans="1:8" x14ac:dyDescent="0.25">
      <c r="A65" t="s">
        <v>169</v>
      </c>
      <c r="B65" t="s">
        <v>186</v>
      </c>
      <c r="C65" t="s">
        <v>187</v>
      </c>
      <c r="D65" t="s">
        <v>169</v>
      </c>
      <c r="E65" t="s">
        <v>188</v>
      </c>
      <c r="F65">
        <v>0</v>
      </c>
      <c r="G65">
        <v>1</v>
      </c>
      <c r="H65">
        <v>1</v>
      </c>
    </row>
    <row r="66" spans="1:8" x14ac:dyDescent="0.25">
      <c r="A66" t="s">
        <v>169</v>
      </c>
      <c r="B66" t="s">
        <v>189</v>
      </c>
      <c r="C66" t="s">
        <v>190</v>
      </c>
      <c r="D66" t="s">
        <v>169</v>
      </c>
      <c r="E66" t="s">
        <v>191</v>
      </c>
      <c r="F66">
        <v>0</v>
      </c>
      <c r="G66">
        <v>1</v>
      </c>
      <c r="H66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Maria Eugenia Limpias Rivero</cp:lastModifiedBy>
  <dcterms:created xsi:type="dcterms:W3CDTF">2026-04-22T17:21:17Z</dcterms:created>
  <dcterms:modified xsi:type="dcterms:W3CDTF">2026-04-22T17:48:23Z</dcterms:modified>
</cp:coreProperties>
</file>